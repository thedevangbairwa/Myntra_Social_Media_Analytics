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tables/table10.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E:\INTERNSHALA DATA SCIENCE PLACEMENT COURSE\Project\C-2_Project_Myntra_Social_Media_Analytics\"/>
    </mc:Choice>
  </mc:AlternateContent>
  <xr:revisionPtr revIDLastSave="0" documentId="13_ncr:1_{81E2A8D4-7BB4-40F8-B9E1-CFBE84FB983E}" xr6:coauthVersionLast="47" xr6:coauthVersionMax="47" xr10:uidLastSave="{00000000-0000-0000-0000-000000000000}"/>
  <bookViews>
    <workbookView xWindow="-108" yWindow="-108" windowWidth="23256" windowHeight="13176" tabRatio="794" xr2:uid="{00000000-000D-0000-FFFF-FFFF00000000}"/>
  </bookViews>
  <sheets>
    <sheet name="Content" sheetId="4" r:id="rId1"/>
    <sheet name="Raw_Post" sheetId="1" state="hidden" r:id="rId2"/>
    <sheet name="Raw_Engagment Summary" sheetId="2" state="hidden" r:id="rId3"/>
    <sheet name="Raw_Campaign Data" sheetId="3" state="hidden" r:id="rId4"/>
    <sheet name="TBL_Post" sheetId="13" state="hidden" r:id="rId5"/>
    <sheet name="TBL_Engagement_summary" sheetId="14" state="hidden" r:id="rId6"/>
    <sheet name="TBL_Engagement_summary (2)" sheetId="26" state="hidden" r:id="rId7"/>
    <sheet name="CAMPAIGN DATA T6t4" sheetId="30" state="hidden" r:id="rId8"/>
    <sheet name="TBL_Campaign_Data" sheetId="15" state="hidden" r:id="rId9"/>
    <sheet name="TBL_Campaign_Data (2)" sheetId="24" state="hidden" r:id="rId10"/>
    <sheet name="T2_Engagement Analysis" sheetId="6" r:id="rId11"/>
    <sheet name="T3_Platform_Analysis" sheetId="18" r:id="rId12"/>
    <sheet name="Dump" sheetId="20" state="hidden" r:id="rId13"/>
    <sheet name="T4_Hashtag &amp; Content Strategy" sheetId="21" r:id="rId14"/>
    <sheet name="T5_Campaign_Effectiveness" sheetId="22" r:id="rId15"/>
    <sheet name="T6_Follower retention &amp; Loyalty" sheetId="25" r:id="rId16"/>
    <sheet name="T7_Summary_Video" sheetId="11" r:id="rId17"/>
  </sheets>
  <definedNames>
    <definedName name="_xlnm._FilterDatabase" localSheetId="1" hidden="1">Raw_Post!$A$1:$M$1</definedName>
    <definedName name="ExternalData_1" localSheetId="8" hidden="1">TBL_Campaign_Data!$A$1:$F$5</definedName>
    <definedName name="ExternalData_1" localSheetId="5" hidden="1">TBL_Engagement_summary!$A$1:$I$201</definedName>
    <definedName name="ExternalData_1" localSheetId="6" hidden="1">'TBL_Engagement_summary (2)'!$A$1:$J$201</definedName>
    <definedName name="ExternalData_1" localSheetId="4" hidden="1">TBL_Post!$A$1:$P$457</definedName>
    <definedName name="ExternalData_2" localSheetId="7" hidden="1">'CAMPAIGN DATA T6t4'!$A$1:$G$9</definedName>
  </definedNames>
  <calcPr calcId="191029"/>
  <pivotCaches>
    <pivotCache cacheId="0" r:id="rId18"/>
    <pivotCache cacheId="1" r:id="rId19"/>
    <pivotCache cacheId="2" r:id="rId20"/>
    <pivotCache cacheId="3" r:id="rId21"/>
    <pivotCache cacheId="4"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gsBh9W7a48zZe43sKmwdG/98/HB9TUkO8zrb1W442d8="/>
    </ext>
  </extLst>
</workbook>
</file>

<file path=xl/calcChain.xml><?xml version="1.0" encoding="utf-8"?>
<calcChain xmlns="http://schemas.openxmlformats.org/spreadsheetml/2006/main">
  <c r="G42" i="18" l="1"/>
  <c r="G43" i="18"/>
  <c r="G44" i="18"/>
  <c r="G45" i="18"/>
  <c r="R2" i="13"/>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129" i="13"/>
  <c r="R130" i="13"/>
  <c r="R131" i="13"/>
  <c r="R132" i="13"/>
  <c r="R133" i="13"/>
  <c r="R134" i="13"/>
  <c r="R135" i="13"/>
  <c r="R136" i="13"/>
  <c r="R137" i="13"/>
  <c r="R138" i="13"/>
  <c r="R139" i="13"/>
  <c r="R140" i="13"/>
  <c r="R141" i="13"/>
  <c r="R142" i="13"/>
  <c r="R143" i="13"/>
  <c r="R144" i="13"/>
  <c r="R145" i="13"/>
  <c r="R146" i="13"/>
  <c r="R147" i="13"/>
  <c r="R148" i="13"/>
  <c r="R149" i="13"/>
  <c r="R150" i="13"/>
  <c r="R151" i="13"/>
  <c r="R152" i="13"/>
  <c r="R153" i="13"/>
  <c r="R154" i="13"/>
  <c r="R155" i="13"/>
  <c r="R156" i="13"/>
  <c r="R157" i="13"/>
  <c r="R158" i="13"/>
  <c r="R159" i="13"/>
  <c r="R160" i="13"/>
  <c r="R161" i="13"/>
  <c r="R162" i="13"/>
  <c r="R163" i="13"/>
  <c r="R164" i="13"/>
  <c r="R165" i="13"/>
  <c r="R166" i="13"/>
  <c r="R167" i="13"/>
  <c r="R168" i="13"/>
  <c r="R169" i="13"/>
  <c r="R170" i="13"/>
  <c r="R171" i="13"/>
  <c r="R172" i="13"/>
  <c r="R173" i="13"/>
  <c r="R174" i="13"/>
  <c r="R175" i="13"/>
  <c r="R176" i="13"/>
  <c r="R177" i="13"/>
  <c r="R178" i="13"/>
  <c r="R179" i="13"/>
  <c r="R180" i="13"/>
  <c r="R181" i="13"/>
  <c r="R182" i="13"/>
  <c r="R183" i="13"/>
  <c r="R184" i="13"/>
  <c r="R185" i="13"/>
  <c r="R186" i="13"/>
  <c r="R187" i="13"/>
  <c r="R188" i="13"/>
  <c r="R189" i="13"/>
  <c r="R190" i="13"/>
  <c r="R191" i="13"/>
  <c r="R192" i="13"/>
  <c r="R193" i="13"/>
  <c r="R194" i="13"/>
  <c r="R195" i="13"/>
  <c r="R196" i="13"/>
  <c r="R197" i="13"/>
  <c r="R198" i="13"/>
  <c r="R199" i="13"/>
  <c r="R200" i="13"/>
  <c r="R201" i="13"/>
  <c r="R202" i="13"/>
  <c r="R203" i="13"/>
  <c r="R204" i="13"/>
  <c r="R205" i="13"/>
  <c r="R206" i="13"/>
  <c r="R207" i="13"/>
  <c r="R208" i="13"/>
  <c r="R209" i="13"/>
  <c r="R210" i="13"/>
  <c r="R211" i="13"/>
  <c r="R212" i="13"/>
  <c r="R213" i="13"/>
  <c r="R214" i="13"/>
  <c r="R215" i="13"/>
  <c r="R216" i="13"/>
  <c r="R217" i="13"/>
  <c r="R218" i="13"/>
  <c r="R219" i="13"/>
  <c r="R220" i="13"/>
  <c r="R221" i="13"/>
  <c r="R222" i="13"/>
  <c r="R223" i="13"/>
  <c r="R224" i="13"/>
  <c r="R225" i="13"/>
  <c r="R226" i="13"/>
  <c r="R227" i="13"/>
  <c r="R228" i="13"/>
  <c r="R229" i="13"/>
  <c r="R230" i="13"/>
  <c r="R231" i="13"/>
  <c r="R232" i="13"/>
  <c r="R233" i="13"/>
  <c r="R234" i="13"/>
  <c r="R235" i="13"/>
  <c r="R236" i="13"/>
  <c r="R237" i="13"/>
  <c r="R238" i="13"/>
  <c r="R239" i="13"/>
  <c r="R240" i="13"/>
  <c r="R241" i="13"/>
  <c r="R242" i="13"/>
  <c r="R243" i="13"/>
  <c r="R244" i="13"/>
  <c r="R245" i="13"/>
  <c r="R246" i="13"/>
  <c r="R247" i="13"/>
  <c r="R248" i="13"/>
  <c r="R249" i="13"/>
  <c r="R250" i="13"/>
  <c r="R251" i="13"/>
  <c r="R252" i="13"/>
  <c r="R253" i="13"/>
  <c r="R254" i="13"/>
  <c r="R255" i="13"/>
  <c r="R256" i="13"/>
  <c r="R257" i="13"/>
  <c r="R258" i="13"/>
  <c r="R259" i="13"/>
  <c r="R260" i="13"/>
  <c r="R261" i="13"/>
  <c r="R262" i="13"/>
  <c r="R263" i="13"/>
  <c r="R264" i="13"/>
  <c r="R265" i="13"/>
  <c r="R266" i="13"/>
  <c r="R267" i="13"/>
  <c r="R268" i="13"/>
  <c r="R269" i="13"/>
  <c r="R270" i="13"/>
  <c r="R271" i="13"/>
  <c r="R272" i="13"/>
  <c r="R273" i="13"/>
  <c r="R274" i="13"/>
  <c r="R275" i="13"/>
  <c r="R276" i="13"/>
  <c r="R277" i="13"/>
  <c r="R278" i="13"/>
  <c r="R279" i="13"/>
  <c r="R280" i="13"/>
  <c r="R281" i="13"/>
  <c r="R282" i="13"/>
  <c r="R283" i="13"/>
  <c r="R284" i="13"/>
  <c r="R285" i="13"/>
  <c r="R286" i="13"/>
  <c r="R287" i="13"/>
  <c r="R288" i="13"/>
  <c r="R289" i="13"/>
  <c r="R290" i="13"/>
  <c r="R291" i="13"/>
  <c r="R292" i="13"/>
  <c r="R293" i="13"/>
  <c r="R294" i="13"/>
  <c r="R295" i="13"/>
  <c r="R296" i="13"/>
  <c r="R297" i="13"/>
  <c r="R298" i="13"/>
  <c r="R299" i="13"/>
  <c r="R300" i="13"/>
  <c r="R301" i="13"/>
  <c r="R302" i="13"/>
  <c r="R303" i="13"/>
  <c r="R304" i="13"/>
  <c r="R305" i="13"/>
  <c r="R306" i="13"/>
  <c r="R307" i="13"/>
  <c r="R308" i="13"/>
  <c r="R309" i="13"/>
  <c r="R310" i="13"/>
  <c r="R311" i="13"/>
  <c r="R312" i="13"/>
  <c r="R313" i="13"/>
  <c r="R314" i="13"/>
  <c r="R315" i="13"/>
  <c r="R316" i="13"/>
  <c r="R317" i="13"/>
  <c r="R318" i="13"/>
  <c r="R319" i="13"/>
  <c r="R320" i="13"/>
  <c r="R321" i="13"/>
  <c r="R322" i="13"/>
  <c r="R323" i="13"/>
  <c r="R324" i="13"/>
  <c r="R325" i="13"/>
  <c r="R326" i="13"/>
  <c r="R327" i="13"/>
  <c r="R328" i="13"/>
  <c r="R329" i="13"/>
  <c r="R330" i="13"/>
  <c r="R331" i="13"/>
  <c r="R332" i="13"/>
  <c r="R333" i="13"/>
  <c r="R334" i="13"/>
  <c r="R335" i="13"/>
  <c r="R336" i="13"/>
  <c r="R337" i="13"/>
  <c r="R338" i="13"/>
  <c r="R339" i="13"/>
  <c r="R340" i="13"/>
  <c r="R341" i="13"/>
  <c r="R342" i="13"/>
  <c r="R343" i="13"/>
  <c r="R344" i="13"/>
  <c r="R345" i="13"/>
  <c r="R346" i="13"/>
  <c r="R347" i="13"/>
  <c r="R348" i="13"/>
  <c r="R349" i="13"/>
  <c r="R350" i="13"/>
  <c r="R351" i="13"/>
  <c r="R352" i="13"/>
  <c r="R353" i="13"/>
  <c r="R354" i="13"/>
  <c r="R355" i="13"/>
  <c r="R356" i="13"/>
  <c r="R357" i="13"/>
  <c r="R358" i="13"/>
  <c r="R359" i="13"/>
  <c r="R360" i="13"/>
  <c r="R361" i="13"/>
  <c r="R362" i="13"/>
  <c r="R363" i="13"/>
  <c r="R364" i="13"/>
  <c r="R365" i="13"/>
  <c r="R366" i="13"/>
  <c r="R367" i="13"/>
  <c r="R368" i="13"/>
  <c r="R369" i="13"/>
  <c r="R370" i="13"/>
  <c r="R371" i="13"/>
  <c r="R372" i="13"/>
  <c r="R373" i="13"/>
  <c r="R374" i="13"/>
  <c r="R375" i="13"/>
  <c r="R376" i="13"/>
  <c r="R377" i="13"/>
  <c r="R378" i="13"/>
  <c r="R379" i="13"/>
  <c r="R380" i="13"/>
  <c r="R381" i="13"/>
  <c r="R382" i="13"/>
  <c r="R383" i="13"/>
  <c r="R384" i="13"/>
  <c r="R385" i="13"/>
  <c r="R386" i="13"/>
  <c r="R387" i="13"/>
  <c r="R388" i="13"/>
  <c r="R389" i="13"/>
  <c r="R390" i="13"/>
  <c r="R391" i="13"/>
  <c r="R392" i="13"/>
  <c r="R393" i="13"/>
  <c r="R394" i="13"/>
  <c r="R395" i="13"/>
  <c r="R396" i="13"/>
  <c r="R397" i="13"/>
  <c r="R398" i="13"/>
  <c r="R399" i="13"/>
  <c r="R400" i="13"/>
  <c r="R401" i="13"/>
  <c r="R402" i="13"/>
  <c r="R403" i="13"/>
  <c r="R404" i="13"/>
  <c r="R405" i="13"/>
  <c r="R406" i="13"/>
  <c r="R407" i="13"/>
  <c r="R408" i="13"/>
  <c r="R409" i="13"/>
  <c r="R410" i="13"/>
  <c r="R411" i="13"/>
  <c r="R412" i="13"/>
  <c r="R413" i="13"/>
  <c r="R414" i="13"/>
  <c r="R415" i="13"/>
  <c r="R416" i="13"/>
  <c r="R417" i="13"/>
  <c r="R418" i="13"/>
  <c r="R419" i="13"/>
  <c r="R420" i="13"/>
  <c r="R421" i="13"/>
  <c r="R422" i="13"/>
  <c r="R423" i="13"/>
  <c r="R424" i="13"/>
  <c r="R425" i="13"/>
  <c r="R426" i="13"/>
  <c r="R427" i="13"/>
  <c r="R428" i="13"/>
  <c r="R429" i="13"/>
  <c r="R430" i="13"/>
  <c r="R431" i="13"/>
  <c r="R432" i="13"/>
  <c r="R433" i="13"/>
  <c r="R434" i="13"/>
  <c r="R435" i="13"/>
  <c r="R436" i="13"/>
  <c r="R437" i="13"/>
  <c r="R438" i="13"/>
  <c r="R439" i="13"/>
  <c r="R440" i="13"/>
  <c r="R441" i="13"/>
  <c r="R442" i="13"/>
  <c r="R443" i="13"/>
  <c r="R444" i="13"/>
  <c r="R445" i="13"/>
  <c r="R446" i="13"/>
  <c r="R447" i="13"/>
  <c r="R448" i="13"/>
  <c r="R449" i="13"/>
  <c r="R450" i="13"/>
  <c r="R451" i="13"/>
  <c r="R452" i="13"/>
  <c r="R453" i="13"/>
  <c r="R454" i="13"/>
  <c r="R455" i="13"/>
  <c r="R456" i="13"/>
  <c r="R457" i="13"/>
  <c r="S2" i="13"/>
  <c r="S3" i="13"/>
  <c r="S4" i="13"/>
  <c r="S5" i="13"/>
  <c r="S6" i="13"/>
  <c r="S7" i="13"/>
  <c r="S8" i="13"/>
  <c r="S9" i="13"/>
  <c r="S10" i="13"/>
  <c r="S11" i="13"/>
  <c r="S12" i="13"/>
  <c r="S13" i="13"/>
  <c r="S14" i="13"/>
  <c r="S15" i="13"/>
  <c r="S16" i="13"/>
  <c r="S17" i="13"/>
  <c r="S18" i="13"/>
  <c r="S19" i="13"/>
  <c r="S20" i="13"/>
  <c r="S21" i="13"/>
  <c r="S22" i="13"/>
  <c r="S23" i="13"/>
  <c r="S24"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66" i="13"/>
  <c r="S67" i="13"/>
  <c r="S68" i="13"/>
  <c r="S69" i="13"/>
  <c r="S70" i="13"/>
  <c r="S71" i="13"/>
  <c r="S72" i="13"/>
  <c r="S73" i="13"/>
  <c r="S74" i="13"/>
  <c r="S75" i="13"/>
  <c r="S76" i="13"/>
  <c r="S77" i="13"/>
  <c r="S78" i="13"/>
  <c r="S79" i="13"/>
  <c r="S80" i="13"/>
  <c r="S81" i="13"/>
  <c r="S82" i="13"/>
  <c r="S83" i="13"/>
  <c r="S84" i="13"/>
  <c r="S85" i="13"/>
  <c r="S86" i="13"/>
  <c r="S87" i="13"/>
  <c r="S88" i="13"/>
  <c r="S89" i="13"/>
  <c r="S90" i="13"/>
  <c r="S91" i="13"/>
  <c r="S92" i="13"/>
  <c r="S93" i="13"/>
  <c r="S94" i="13"/>
  <c r="S95" i="13"/>
  <c r="S96" i="13"/>
  <c r="S97" i="13"/>
  <c r="S98" i="13"/>
  <c r="S99" i="13"/>
  <c r="S100" i="13"/>
  <c r="S101" i="13"/>
  <c r="S102" i="13"/>
  <c r="S103" i="13"/>
  <c r="S104" i="13"/>
  <c r="S105" i="13"/>
  <c r="S106" i="13"/>
  <c r="S107" i="13"/>
  <c r="S108" i="13"/>
  <c r="S109" i="13"/>
  <c r="S110" i="13"/>
  <c r="S111" i="13"/>
  <c r="S112" i="13"/>
  <c r="S113" i="13"/>
  <c r="S114" i="13"/>
  <c r="S115" i="13"/>
  <c r="S116" i="13"/>
  <c r="S117" i="13"/>
  <c r="S118" i="13"/>
  <c r="S119" i="13"/>
  <c r="S120" i="13"/>
  <c r="S121" i="13"/>
  <c r="S122" i="13"/>
  <c r="S123" i="13"/>
  <c r="S124" i="13"/>
  <c r="S125" i="13"/>
  <c r="S126" i="13"/>
  <c r="S127" i="13"/>
  <c r="S128" i="13"/>
  <c r="S129" i="13"/>
  <c r="S130" i="13"/>
  <c r="S131" i="13"/>
  <c r="S132" i="13"/>
  <c r="S133" i="13"/>
  <c r="S134" i="13"/>
  <c r="S135" i="13"/>
  <c r="S136" i="13"/>
  <c r="S137" i="13"/>
  <c r="S138" i="13"/>
  <c r="S139" i="13"/>
  <c r="S140" i="13"/>
  <c r="S141" i="13"/>
  <c r="S142" i="13"/>
  <c r="S143" i="13"/>
  <c r="S144" i="13"/>
  <c r="S145" i="13"/>
  <c r="S146" i="13"/>
  <c r="S147" i="13"/>
  <c r="S148" i="13"/>
  <c r="S149" i="13"/>
  <c r="S150" i="13"/>
  <c r="S151" i="13"/>
  <c r="S152" i="13"/>
  <c r="S153" i="13"/>
  <c r="S154" i="13"/>
  <c r="S155" i="13"/>
  <c r="S156" i="13"/>
  <c r="S157" i="13"/>
  <c r="S158" i="13"/>
  <c r="S159" i="13"/>
  <c r="S160" i="13"/>
  <c r="S161" i="13"/>
  <c r="S162" i="13"/>
  <c r="S163" i="13"/>
  <c r="S164" i="13"/>
  <c r="S165" i="13"/>
  <c r="S166" i="13"/>
  <c r="S167" i="13"/>
  <c r="S168" i="13"/>
  <c r="S169" i="13"/>
  <c r="S170" i="13"/>
  <c r="S171" i="13"/>
  <c r="S172" i="13"/>
  <c r="S173" i="13"/>
  <c r="S174" i="13"/>
  <c r="S175" i="13"/>
  <c r="S176" i="13"/>
  <c r="S177" i="13"/>
  <c r="S178" i="13"/>
  <c r="S179" i="13"/>
  <c r="S180" i="13"/>
  <c r="S181" i="13"/>
  <c r="S182" i="13"/>
  <c r="S183" i="13"/>
  <c r="S184" i="13"/>
  <c r="S185" i="13"/>
  <c r="S186" i="13"/>
  <c r="S187" i="13"/>
  <c r="S188" i="13"/>
  <c r="S189" i="13"/>
  <c r="S190" i="13"/>
  <c r="S191" i="13"/>
  <c r="S192" i="13"/>
  <c r="S193" i="13"/>
  <c r="S194" i="13"/>
  <c r="S195" i="13"/>
  <c r="S196" i="13"/>
  <c r="S197" i="13"/>
  <c r="S198" i="13"/>
  <c r="S199" i="13"/>
  <c r="S200" i="13"/>
  <c r="S201" i="13"/>
  <c r="S202" i="13"/>
  <c r="S203" i="13"/>
  <c r="S204" i="13"/>
  <c r="S205" i="13"/>
  <c r="S206" i="13"/>
  <c r="S207" i="13"/>
  <c r="S208" i="13"/>
  <c r="S209" i="13"/>
  <c r="S210" i="13"/>
  <c r="S211" i="13"/>
  <c r="S212" i="13"/>
  <c r="S213" i="13"/>
  <c r="S214" i="13"/>
  <c r="S215" i="13"/>
  <c r="S216" i="13"/>
  <c r="S217" i="13"/>
  <c r="S218" i="13"/>
  <c r="S219" i="13"/>
  <c r="S220" i="13"/>
  <c r="S221" i="13"/>
  <c r="S222" i="13"/>
  <c r="S223" i="13"/>
  <c r="S224" i="13"/>
  <c r="S225" i="13"/>
  <c r="S226" i="13"/>
  <c r="S227" i="13"/>
  <c r="S228" i="13"/>
  <c r="S229" i="13"/>
  <c r="S230" i="13"/>
  <c r="S231" i="13"/>
  <c r="S232" i="13"/>
  <c r="S233" i="13"/>
  <c r="S234" i="13"/>
  <c r="S235" i="13"/>
  <c r="S236" i="13"/>
  <c r="S237" i="13"/>
  <c r="S238" i="13"/>
  <c r="S239" i="13"/>
  <c r="S240" i="13"/>
  <c r="S241" i="13"/>
  <c r="S242" i="13"/>
  <c r="S243" i="13"/>
  <c r="S244" i="13"/>
  <c r="S245" i="13"/>
  <c r="S246" i="13"/>
  <c r="S247" i="13"/>
  <c r="S248" i="13"/>
  <c r="S249" i="13"/>
  <c r="S250" i="13"/>
  <c r="S251" i="13"/>
  <c r="S252" i="13"/>
  <c r="S253" i="13"/>
  <c r="S254" i="13"/>
  <c r="S255" i="13"/>
  <c r="S256" i="13"/>
  <c r="S257" i="13"/>
  <c r="S258" i="13"/>
  <c r="S259" i="13"/>
  <c r="S260" i="13"/>
  <c r="S261" i="13"/>
  <c r="S262" i="13"/>
  <c r="S263" i="13"/>
  <c r="S264" i="13"/>
  <c r="S265" i="13"/>
  <c r="S266" i="13"/>
  <c r="S267" i="13"/>
  <c r="S268" i="13"/>
  <c r="S269" i="13"/>
  <c r="S270" i="13"/>
  <c r="S271" i="13"/>
  <c r="S272" i="13"/>
  <c r="S273" i="13"/>
  <c r="S274" i="13"/>
  <c r="S275" i="13"/>
  <c r="S276" i="13"/>
  <c r="S277" i="13"/>
  <c r="S278" i="13"/>
  <c r="S279" i="13"/>
  <c r="S280" i="13"/>
  <c r="S281" i="13"/>
  <c r="S282" i="13"/>
  <c r="S283" i="13"/>
  <c r="S284" i="13"/>
  <c r="S285" i="13"/>
  <c r="S286" i="13"/>
  <c r="S287" i="13"/>
  <c r="S288" i="13"/>
  <c r="S289" i="13"/>
  <c r="S290" i="13"/>
  <c r="S291" i="13"/>
  <c r="S292" i="13"/>
  <c r="S293" i="13"/>
  <c r="S294" i="13"/>
  <c r="S295" i="13"/>
  <c r="S296" i="13"/>
  <c r="S297" i="13"/>
  <c r="S298" i="13"/>
  <c r="S299" i="13"/>
  <c r="S300" i="13"/>
  <c r="S301" i="13"/>
  <c r="S302" i="13"/>
  <c r="S303" i="13"/>
  <c r="S304" i="13"/>
  <c r="S305" i="13"/>
  <c r="S306" i="13"/>
  <c r="S307" i="13"/>
  <c r="S308" i="13"/>
  <c r="S309" i="13"/>
  <c r="S310" i="13"/>
  <c r="S311" i="13"/>
  <c r="S312" i="13"/>
  <c r="S313" i="13"/>
  <c r="S314" i="13"/>
  <c r="S315" i="13"/>
  <c r="S316" i="13"/>
  <c r="S317" i="13"/>
  <c r="S318" i="13"/>
  <c r="S319" i="13"/>
  <c r="S320" i="13"/>
  <c r="S321" i="13"/>
  <c r="S322" i="13"/>
  <c r="S323" i="13"/>
  <c r="S324" i="13"/>
  <c r="S325" i="13"/>
  <c r="S326" i="13"/>
  <c r="S327" i="13"/>
  <c r="S328" i="13"/>
  <c r="S329" i="13"/>
  <c r="S330" i="13"/>
  <c r="S331" i="13"/>
  <c r="S332" i="13"/>
  <c r="S333" i="13"/>
  <c r="S334" i="13"/>
  <c r="S335" i="13"/>
  <c r="S336" i="13"/>
  <c r="S337" i="13"/>
  <c r="S338" i="13"/>
  <c r="S339" i="13"/>
  <c r="S340" i="13"/>
  <c r="S341" i="13"/>
  <c r="S342" i="13"/>
  <c r="S343" i="13"/>
  <c r="S344" i="13"/>
  <c r="S345" i="13"/>
  <c r="S346" i="13"/>
  <c r="S347" i="13"/>
  <c r="S348" i="13"/>
  <c r="S349" i="13"/>
  <c r="S350" i="13"/>
  <c r="S351" i="13"/>
  <c r="S352" i="13"/>
  <c r="S353" i="13"/>
  <c r="S354" i="13"/>
  <c r="S355" i="13"/>
  <c r="S356" i="13"/>
  <c r="S357" i="13"/>
  <c r="S358" i="13"/>
  <c r="S359" i="13"/>
  <c r="S360" i="13"/>
  <c r="S361" i="13"/>
  <c r="S362" i="13"/>
  <c r="S363" i="13"/>
  <c r="S364" i="13"/>
  <c r="S365" i="13"/>
  <c r="S366" i="13"/>
  <c r="S367" i="13"/>
  <c r="S368" i="13"/>
  <c r="S369" i="13"/>
  <c r="S370" i="13"/>
  <c r="S371" i="13"/>
  <c r="S372" i="13"/>
  <c r="S373" i="13"/>
  <c r="S374" i="13"/>
  <c r="S375" i="13"/>
  <c r="S376" i="13"/>
  <c r="S377" i="13"/>
  <c r="S378" i="13"/>
  <c r="S379" i="13"/>
  <c r="S380" i="13"/>
  <c r="S381" i="13"/>
  <c r="S382" i="13"/>
  <c r="S383" i="13"/>
  <c r="S384" i="13"/>
  <c r="S385" i="13"/>
  <c r="S386" i="13"/>
  <c r="S387" i="13"/>
  <c r="S388" i="13"/>
  <c r="S389" i="13"/>
  <c r="S390" i="13"/>
  <c r="S391" i="13"/>
  <c r="S392" i="13"/>
  <c r="S393" i="13"/>
  <c r="S394" i="13"/>
  <c r="S395" i="13"/>
  <c r="S396" i="13"/>
  <c r="S397" i="13"/>
  <c r="S398" i="13"/>
  <c r="S399" i="13"/>
  <c r="S400" i="13"/>
  <c r="S401" i="13"/>
  <c r="S402" i="13"/>
  <c r="S403" i="13"/>
  <c r="S404" i="13"/>
  <c r="S405" i="13"/>
  <c r="S406" i="13"/>
  <c r="S407" i="13"/>
  <c r="S408" i="13"/>
  <c r="S409" i="13"/>
  <c r="S410" i="13"/>
  <c r="S411" i="13"/>
  <c r="S412" i="13"/>
  <c r="S413" i="13"/>
  <c r="S414" i="13"/>
  <c r="S415" i="13"/>
  <c r="S416" i="13"/>
  <c r="S417" i="13"/>
  <c r="S418" i="13"/>
  <c r="S419" i="13"/>
  <c r="S420" i="13"/>
  <c r="S421" i="13"/>
  <c r="S422" i="13"/>
  <c r="S423" i="13"/>
  <c r="S424" i="13"/>
  <c r="S425" i="13"/>
  <c r="S426" i="13"/>
  <c r="S427" i="13"/>
  <c r="S428" i="13"/>
  <c r="S429" i="13"/>
  <c r="S430" i="13"/>
  <c r="S431" i="13"/>
  <c r="S432" i="13"/>
  <c r="S433" i="13"/>
  <c r="S434" i="13"/>
  <c r="S435" i="13"/>
  <c r="S436" i="13"/>
  <c r="S437" i="13"/>
  <c r="S438" i="13"/>
  <c r="S439" i="13"/>
  <c r="S440" i="13"/>
  <c r="S441" i="13"/>
  <c r="S442" i="13"/>
  <c r="S443" i="13"/>
  <c r="S444" i="13"/>
  <c r="S445" i="13"/>
  <c r="S446" i="13"/>
  <c r="S447" i="13"/>
  <c r="S448" i="13"/>
  <c r="S449" i="13"/>
  <c r="S450" i="13"/>
  <c r="S451" i="13"/>
  <c r="S452" i="13"/>
  <c r="S453" i="13"/>
  <c r="S454" i="13"/>
  <c r="S455" i="13"/>
  <c r="S456" i="13"/>
  <c r="S457" i="13"/>
  <c r="J88" i="25"/>
  <c r="J89" i="25"/>
  <c r="J90" i="25"/>
  <c r="J91" i="25"/>
  <c r="J92" i="25"/>
  <c r="J93" i="25"/>
  <c r="J94" i="25"/>
  <c r="J95" i="25"/>
  <c r="J96" i="25"/>
  <c r="J97" i="25"/>
  <c r="J98" i="25"/>
  <c r="J99" i="25"/>
  <c r="J100" i="25"/>
  <c r="J101" i="25"/>
  <c r="J102" i="25"/>
  <c r="J103" i="25"/>
  <c r="J104" i="25"/>
  <c r="J105" i="25"/>
  <c r="J106" i="25"/>
  <c r="J107" i="25"/>
  <c r="J108" i="25"/>
  <c r="J109" i="25"/>
  <c r="J110" i="25"/>
  <c r="J111" i="25"/>
  <c r="J112" i="25"/>
  <c r="J113" i="25"/>
  <c r="J114" i="25"/>
  <c r="J115" i="25"/>
  <c r="J116" i="25"/>
  <c r="J117" i="25"/>
  <c r="J118" i="25"/>
  <c r="J119" i="25"/>
  <c r="J120" i="25"/>
  <c r="J121" i="25"/>
  <c r="J122" i="25"/>
  <c r="J123" i="25"/>
  <c r="J124" i="25"/>
  <c r="J125" i="25"/>
  <c r="J126" i="25"/>
  <c r="J127" i="25"/>
  <c r="J128" i="25"/>
  <c r="J129" i="25"/>
  <c r="J130" i="25"/>
  <c r="J131" i="25"/>
  <c r="J132" i="25"/>
  <c r="J133" i="25"/>
  <c r="J134" i="25"/>
  <c r="J87" i="25"/>
  <c r="E5" i="20" a="1"/>
  <c r="E5" i="20" s="1"/>
  <c r="D5" i="20" a="1"/>
  <c r="D5" i="20" s="1"/>
  <c r="G5" i="20" a="1"/>
  <c r="G5" i="20" s="1"/>
  <c r="F5" i="20" a="1"/>
  <c r="F5" i="20" s="1"/>
  <c r="I5" i="20" a="1"/>
  <c r="I5" i="20" s="1"/>
  <c r="H5" i="20" a="1"/>
  <c r="H5" i="20" s="1"/>
  <c r="C5" i="20" a="1"/>
  <c r="C5" i="20" s="1"/>
  <c r="B5" i="20" a="1"/>
  <c r="B5" i="20" s="1"/>
  <c r="F65" i="22"/>
  <c r="F66" i="22"/>
  <c r="F67" i="22"/>
  <c r="F64" i="22"/>
  <c r="G51" i="22"/>
  <c r="G42" i="22"/>
  <c r="G45" i="22"/>
  <c r="G48" i="22"/>
  <c r="G65" i="22"/>
  <c r="G66" i="22"/>
  <c r="G64" i="22"/>
  <c r="G67" i="22"/>
  <c r="Q242" i="13" l="1"/>
  <c r="Q434" i="13"/>
  <c r="Q394" i="13"/>
  <c r="Q362" i="13"/>
  <c r="Q306" i="13"/>
  <c r="Q258" i="13"/>
  <c r="Q457" i="13"/>
  <c r="Q449" i="13"/>
  <c r="Q441" i="13"/>
  <c r="Q433" i="13"/>
  <c r="Q425" i="13"/>
  <c r="Q417" i="13"/>
  <c r="Q409" i="13"/>
  <c r="Q401" i="13"/>
  <c r="Q393" i="13"/>
  <c r="Q385" i="13"/>
  <c r="Q377" i="13"/>
  <c r="Q369" i="13"/>
  <c r="Q361" i="13"/>
  <c r="Q353" i="13"/>
  <c r="Q345" i="13"/>
  <c r="Q337" i="13"/>
  <c r="Q329" i="13"/>
  <c r="Q321" i="13"/>
  <c r="Q313" i="13"/>
  <c r="Q305" i="13"/>
  <c r="Q297" i="13"/>
  <c r="Q289" i="13"/>
  <c r="Q281" i="13"/>
  <c r="Q273" i="13"/>
  <c r="Q265" i="13"/>
  <c r="Q257" i="13"/>
  <c r="Q249" i="13"/>
  <c r="Q241" i="13"/>
  <c r="Q233" i="13"/>
  <c r="Q225" i="13"/>
  <c r="Q217" i="13"/>
  <c r="Q209" i="13"/>
  <c r="Q201" i="13"/>
  <c r="Q193" i="13"/>
  <c r="Q185" i="13"/>
  <c r="Q177" i="13"/>
  <c r="Q169" i="13"/>
  <c r="Q161" i="13"/>
  <c r="Q153" i="13"/>
  <c r="Q145" i="13"/>
  <c r="Q137" i="13"/>
  <c r="Q129" i="13"/>
  <c r="Q121" i="13"/>
  <c r="Q113" i="13"/>
  <c r="Q105" i="13"/>
  <c r="Q97" i="13"/>
  <c r="Q89" i="13"/>
  <c r="Q81" i="13"/>
  <c r="Q73" i="13"/>
  <c r="Q65" i="13"/>
  <c r="Q57" i="13"/>
  <c r="Q49" i="13"/>
  <c r="Q41" i="13"/>
  <c r="Q33" i="13"/>
  <c r="Q25" i="13"/>
  <c r="Q17" i="13"/>
  <c r="Q9" i="13"/>
  <c r="Q426" i="13"/>
  <c r="Q386" i="13"/>
  <c r="Q346" i="13"/>
  <c r="Q322" i="13"/>
  <c r="Q290" i="13"/>
  <c r="Q266" i="13"/>
  <c r="Q456" i="13"/>
  <c r="Q448" i="13"/>
  <c r="Q440" i="13"/>
  <c r="Q432" i="13"/>
  <c r="Q424" i="13"/>
  <c r="Q416" i="13"/>
  <c r="Q408" i="13"/>
  <c r="Q400" i="13"/>
  <c r="Q392" i="13"/>
  <c r="Q384" i="13"/>
  <c r="Q376" i="13"/>
  <c r="Q368" i="13"/>
  <c r="Q360" i="13"/>
  <c r="Q352" i="13"/>
  <c r="Q344" i="13"/>
  <c r="Q336" i="13"/>
  <c r="Q328" i="13"/>
  <c r="Q320" i="13"/>
  <c r="Q312" i="13"/>
  <c r="Q304" i="13"/>
  <c r="Q296" i="13"/>
  <c r="Q288" i="13"/>
  <c r="Q280" i="13"/>
  <c r="Q272" i="13"/>
  <c r="Q264" i="13"/>
  <c r="Q256" i="13"/>
  <c r="Q248" i="13"/>
  <c r="Q240" i="13"/>
  <c r="Q232" i="13"/>
  <c r="Q224" i="13"/>
  <c r="Q216" i="13"/>
  <c r="Q208" i="13"/>
  <c r="Q200" i="13"/>
  <c r="Q192" i="13"/>
  <c r="Q184" i="13"/>
  <c r="Q176" i="13"/>
  <c r="Q168" i="13"/>
  <c r="Q160" i="13"/>
  <c r="Q152" i="13"/>
  <c r="Q144" i="13"/>
  <c r="Q136" i="13"/>
  <c r="Q128" i="13"/>
  <c r="Q120" i="13"/>
  <c r="Q112" i="13"/>
  <c r="Q104" i="13"/>
  <c r="Q96" i="13"/>
  <c r="Q88" i="13"/>
  <c r="Q80" i="13"/>
  <c r="Q72" i="13"/>
  <c r="Q64" i="13"/>
  <c r="Q56" i="13"/>
  <c r="Q48" i="13"/>
  <c r="Q40" i="13"/>
  <c r="Q32" i="13"/>
  <c r="Q24" i="13"/>
  <c r="Q16" i="13"/>
  <c r="Q8" i="13"/>
  <c r="Q442" i="13"/>
  <c r="Q455" i="13"/>
  <c r="Q447" i="13"/>
  <c r="Q439" i="13"/>
  <c r="Q431" i="13"/>
  <c r="Q423" i="13"/>
  <c r="Q415" i="13"/>
  <c r="Q407" i="13"/>
  <c r="Q399" i="13"/>
  <c r="Q391" i="13"/>
  <c r="Q383" i="13"/>
  <c r="Q375" i="13"/>
  <c r="Q367" i="13"/>
  <c r="Q359" i="13"/>
  <c r="Q351" i="13"/>
  <c r="Q343" i="13"/>
  <c r="Q335" i="13"/>
  <c r="Q327" i="13"/>
  <c r="Q319" i="13"/>
  <c r="Q311" i="13"/>
  <c r="Q303" i="13"/>
  <c r="Q295" i="13"/>
  <c r="Q287" i="13"/>
  <c r="Q279" i="13"/>
  <c r="Q271" i="13"/>
  <c r="Q263" i="13"/>
  <c r="Q255" i="13"/>
  <c r="Q247" i="13"/>
  <c r="Q239" i="13"/>
  <c r="Q231" i="13"/>
  <c r="Q223" i="13"/>
  <c r="Q215" i="13"/>
  <c r="Q207" i="13"/>
  <c r="Q199" i="13"/>
  <c r="Q191" i="13"/>
  <c r="Q183" i="13"/>
  <c r="Q175" i="13"/>
  <c r="Q167" i="13"/>
  <c r="Q159" i="13"/>
  <c r="Q151" i="13"/>
  <c r="Q143" i="13"/>
  <c r="Q135" i="13"/>
  <c r="Q127" i="13"/>
  <c r="Q119" i="13"/>
  <c r="Q111" i="13"/>
  <c r="Q103" i="13"/>
  <c r="Q95" i="13"/>
  <c r="Q87" i="13"/>
  <c r="Q79" i="13"/>
  <c r="Q71" i="13"/>
  <c r="Q63" i="13"/>
  <c r="Q55" i="13"/>
  <c r="Q47" i="13"/>
  <c r="Q39" i="13"/>
  <c r="Q31" i="13"/>
  <c r="Q23" i="13"/>
  <c r="Q15" i="13"/>
  <c r="Q7" i="13"/>
  <c r="Q402" i="13"/>
  <c r="Q354" i="13"/>
  <c r="Q314" i="13"/>
  <c r="Q274" i="13"/>
  <c r="Q454" i="13"/>
  <c r="Q446" i="13"/>
  <c r="Q438" i="13"/>
  <c r="Q430" i="13"/>
  <c r="Q422" i="13"/>
  <c r="Q414" i="13"/>
  <c r="Q406" i="13"/>
  <c r="Q398" i="13"/>
  <c r="Q390" i="13"/>
  <c r="Q382" i="13"/>
  <c r="Q374" i="13"/>
  <c r="Q366" i="13"/>
  <c r="Q358" i="13"/>
  <c r="Q350" i="13"/>
  <c r="Q342" i="13"/>
  <c r="Q334" i="13"/>
  <c r="Q326" i="13"/>
  <c r="Q318" i="13"/>
  <c r="Q310" i="13"/>
  <c r="Q302" i="13"/>
  <c r="Q294" i="13"/>
  <c r="Q286" i="13"/>
  <c r="Q278" i="13"/>
  <c r="Q270" i="13"/>
  <c r="Q262" i="13"/>
  <c r="Q254" i="13"/>
  <c r="Q246" i="13"/>
  <c r="Q238" i="13"/>
  <c r="Q230" i="13"/>
  <c r="Q222" i="13"/>
  <c r="Q214" i="13"/>
  <c r="Q206" i="13"/>
  <c r="Q198" i="13"/>
  <c r="Q190" i="13"/>
  <c r="Q182" i="13"/>
  <c r="Q174" i="13"/>
  <c r="Q166" i="13"/>
  <c r="Q158" i="13"/>
  <c r="Q150" i="13"/>
  <c r="Q142" i="13"/>
  <c r="Q134" i="13"/>
  <c r="Q126" i="13"/>
  <c r="Q118" i="13"/>
  <c r="Q110" i="13"/>
  <c r="Q102" i="13"/>
  <c r="Q94" i="13"/>
  <c r="Q86" i="13"/>
  <c r="Q78" i="13"/>
  <c r="Q70" i="13"/>
  <c r="Q62" i="13"/>
  <c r="Q54" i="13"/>
  <c r="Q46" i="13"/>
  <c r="Q38" i="13"/>
  <c r="Q30" i="13"/>
  <c r="Q22" i="13"/>
  <c r="Q14" i="13"/>
  <c r="Q6" i="13"/>
  <c r="Q450" i="13"/>
  <c r="Q410" i="13"/>
  <c r="Q370" i="13"/>
  <c r="Q338" i="13"/>
  <c r="Q298" i="13"/>
  <c r="Q250" i="13"/>
  <c r="Q453" i="13"/>
  <c r="Q445" i="13"/>
  <c r="Q437" i="13"/>
  <c r="Q429" i="13"/>
  <c r="Q421" i="13"/>
  <c r="Q413" i="13"/>
  <c r="Q405" i="13"/>
  <c r="Q397" i="13"/>
  <c r="Q389" i="13"/>
  <c r="Q381" i="13"/>
  <c r="Q373" i="13"/>
  <c r="Q365" i="13"/>
  <c r="Q357" i="13"/>
  <c r="Q349" i="13"/>
  <c r="Q341" i="13"/>
  <c r="Q333" i="13"/>
  <c r="Q325" i="13"/>
  <c r="Q317" i="13"/>
  <c r="Q309" i="13"/>
  <c r="Q301" i="13"/>
  <c r="Q293" i="13"/>
  <c r="Q285" i="13"/>
  <c r="Q277" i="13"/>
  <c r="Q269" i="13"/>
  <c r="Q261" i="13"/>
  <c r="Q253" i="13"/>
  <c r="Q245" i="13"/>
  <c r="Q237" i="13"/>
  <c r="Q229" i="13"/>
  <c r="Q221" i="13"/>
  <c r="Q213" i="13"/>
  <c r="Q205" i="13"/>
  <c r="Q197" i="13"/>
  <c r="Q189" i="13"/>
  <c r="Q181" i="13"/>
  <c r="Q173" i="13"/>
  <c r="Q165" i="13"/>
  <c r="Q157" i="13"/>
  <c r="Q149" i="13"/>
  <c r="Q141" i="13"/>
  <c r="Q133" i="13"/>
  <c r="Q125" i="13"/>
  <c r="Q117" i="13"/>
  <c r="Q109" i="13"/>
  <c r="Q101" i="13"/>
  <c r="Q93" i="13"/>
  <c r="Q85" i="13"/>
  <c r="Q77" i="13"/>
  <c r="Q69" i="13"/>
  <c r="Q61" i="13"/>
  <c r="Q53" i="13"/>
  <c r="Q45" i="13"/>
  <c r="Q37" i="13"/>
  <c r="Q29" i="13"/>
  <c r="Q21" i="13"/>
  <c r="Q13" i="13"/>
  <c r="Q5" i="13"/>
  <c r="Q418" i="13"/>
  <c r="Q378" i="13"/>
  <c r="Q330" i="13"/>
  <c r="Q282" i="13"/>
  <c r="Q452" i="13"/>
  <c r="Q444" i="13"/>
  <c r="Q436" i="13"/>
  <c r="Q428" i="13"/>
  <c r="Q420" i="13"/>
  <c r="Q412" i="13"/>
  <c r="Q404" i="13"/>
  <c r="Q396" i="13"/>
  <c r="Q388" i="13"/>
  <c r="Q380" i="13"/>
  <c r="Q372" i="13"/>
  <c r="Q364" i="13"/>
  <c r="Q356" i="13"/>
  <c r="Q348" i="13"/>
  <c r="Q340" i="13"/>
  <c r="Q332" i="13"/>
  <c r="Q324" i="13"/>
  <c r="Q316" i="13"/>
  <c r="Q308" i="13"/>
  <c r="Q300" i="13"/>
  <c r="Q292" i="13"/>
  <c r="Q284" i="13"/>
  <c r="Q276" i="13"/>
  <c r="Q268" i="13"/>
  <c r="Q260" i="13"/>
  <c r="Q252" i="13"/>
  <c r="Q244" i="13"/>
  <c r="Q236" i="13"/>
  <c r="Q228" i="13"/>
  <c r="Q220" i="13"/>
  <c r="Q212" i="13"/>
  <c r="Q204" i="13"/>
  <c r="Q196" i="13"/>
  <c r="Q188" i="13"/>
  <c r="Q180" i="13"/>
  <c r="Q172" i="13"/>
  <c r="Q164" i="13"/>
  <c r="Q156" i="13"/>
  <c r="Q148" i="13"/>
  <c r="Q140" i="13"/>
  <c r="Q132" i="13"/>
  <c r="Q124" i="13"/>
  <c r="Q116" i="13"/>
  <c r="Q108" i="13"/>
  <c r="Q100" i="13"/>
  <c r="Q92" i="13"/>
  <c r="Q84" i="13"/>
  <c r="Q76" i="13"/>
  <c r="Q68" i="13"/>
  <c r="Q60" i="13"/>
  <c r="Q52" i="13"/>
  <c r="Q44" i="13"/>
  <c r="Q36" i="13"/>
  <c r="Q28" i="13"/>
  <c r="Q20" i="13"/>
  <c r="Q12" i="13"/>
  <c r="Q4" i="13"/>
  <c r="Q451" i="13"/>
  <c r="Q443" i="13"/>
  <c r="Q435" i="13"/>
  <c r="Q427" i="13"/>
  <c r="Q419" i="13"/>
  <c r="Q411" i="13"/>
  <c r="Q403" i="13"/>
  <c r="Q395" i="13"/>
  <c r="Q387" i="13"/>
  <c r="Q379" i="13"/>
  <c r="Q371" i="13"/>
  <c r="Q363" i="13"/>
  <c r="Q355" i="13"/>
  <c r="Q347" i="13"/>
  <c r="Q339" i="13"/>
  <c r="Q331" i="13"/>
  <c r="Q323" i="13"/>
  <c r="Q315" i="13"/>
  <c r="Q307" i="13"/>
  <c r="Q299" i="13"/>
  <c r="Q291" i="13"/>
  <c r="Q283" i="13"/>
  <c r="Q275" i="13"/>
  <c r="Q267" i="13"/>
  <c r="Q259" i="13"/>
  <c r="Q251" i="13"/>
  <c r="Q243" i="13"/>
  <c r="Q235" i="13"/>
  <c r="Q227" i="13"/>
  <c r="Q219" i="13"/>
  <c r="Q211" i="13"/>
  <c r="Q203" i="13"/>
  <c r="Q195" i="13"/>
  <c r="Q187" i="13"/>
  <c r="Q179" i="13"/>
  <c r="Q171" i="13"/>
  <c r="Q163" i="13"/>
  <c r="Q155" i="13"/>
  <c r="Q147" i="13"/>
  <c r="Q139" i="13"/>
  <c r="Q131" i="13"/>
  <c r="Q123" i="13"/>
  <c r="Q115" i="13"/>
  <c r="Q107" i="13"/>
  <c r="Q99" i="13"/>
  <c r="Q91" i="13"/>
  <c r="Q83" i="13"/>
  <c r="Q75" i="13"/>
  <c r="Q67" i="13"/>
  <c r="Q59" i="13"/>
  <c r="Q51" i="13"/>
  <c r="Q43" i="13"/>
  <c r="Q35" i="13"/>
  <c r="Q27" i="13"/>
  <c r="Q19" i="13"/>
  <c r="Q11" i="13"/>
  <c r="Q3" i="13"/>
  <c r="Q234" i="13"/>
  <c r="Q226" i="13"/>
  <c r="Q218" i="13"/>
  <c r="Q210" i="13"/>
  <c r="Q202" i="13"/>
  <c r="Q194" i="13"/>
  <c r="Q186" i="13"/>
  <c r="Q178" i="13"/>
  <c r="Q170" i="13"/>
  <c r="Q162" i="13"/>
  <c r="Q154" i="13"/>
  <c r="Q146" i="13"/>
  <c r="Q138" i="13"/>
  <c r="Q130" i="13"/>
  <c r="Q122" i="13"/>
  <c r="Q114" i="13"/>
  <c r="Q106" i="13"/>
  <c r="Q98" i="13"/>
  <c r="Q90" i="13"/>
  <c r="Q82" i="13"/>
  <c r="Q74" i="13"/>
  <c r="Q66" i="13"/>
  <c r="Q58" i="13"/>
  <c r="Q50" i="13"/>
  <c r="Q42" i="13"/>
  <c r="Q34" i="13"/>
  <c r="Q26" i="13"/>
  <c r="Q18" i="13"/>
  <c r="Q10" i="13"/>
  <c r="Q2" i="13"/>
  <c r="F68" i="22"/>
  <c r="I42" i="18"/>
  <c r="J42" i="18" s="1"/>
  <c r="I43" i="18"/>
  <c r="J43" i="18" s="1"/>
  <c r="I44" i="18"/>
  <c r="J44" i="18" s="1"/>
  <c r="I45" i="18"/>
  <c r="J45" i="18" s="1"/>
  <c r="G68" i="22"/>
  <c r="G54" i="22" l="1"/>
  <c r="H1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2DFC30-1ECE-4C66-8A3D-CE9C90195972}" keepAlive="1" name="Query - campaign data T6t4" description="Connection to the 'campaign data T6t4' query in the workbook." type="5" refreshedVersion="8" background="1" saveData="1">
    <dbPr connection="Provider=Microsoft.Mashup.OleDb.1;Data Source=$Workbook$;Location=&quot;campaign data T6t4&quot;;Extended Properties=&quot;&quot;" command="SELECT * FROM [campaign data T6t4]"/>
  </connection>
  <connection id="2" xr16:uid="{03866FE2-615E-4D67-8FBE-66761EDA6C89}" keepAlive="1" name="Query - TBL_Campaign_Data" description="Connection to the 'TBL_Campaign_Data' query in the workbook." type="5" refreshedVersion="8" background="1" saveData="1">
    <dbPr connection="Provider=Microsoft.Mashup.OleDb.1;Data Source=$Workbook$;Location=TBL_Campaign_Data;Extended Properties=&quot;&quot;" command="SELECT * FROM [TBL_Campaign_Data]"/>
  </connection>
  <connection id="3" xr16:uid="{FF090EA9-81C0-4D92-BC39-6FBACD13123F}" keepAlive="1" name="Query - TBL_Campaign_Data T6t4" description="Connection to the 'TBL_Campaign_Data T6t4' query in the workbook." type="5" refreshedVersion="0" background="1">
    <dbPr connection="Provider=Microsoft.Mashup.OleDb.1;Data Source=$Workbook$;Location=&quot;TBL_Campaign_Data T6t4&quot;;Extended Properties=&quot;&quot;" command="SELECT * FROM [TBL_Campaign_Data T6t4]"/>
  </connection>
  <connection id="4" xr16:uid="{87FF151B-8633-42A8-8941-AC1776E2C44C}" keepAlive="1" name="Query - TBL_Engagement_summary" description="Connection to the 'TBL_Engagement_summary' query in the workbook." type="5" refreshedVersion="8" background="1" saveData="1">
    <dbPr connection="Provider=Microsoft.Mashup.OleDb.1;Data Source=$Workbook$;Location=TBL_Engagement_summary;Extended Properties=&quot;&quot;" command="SELECT * FROM [TBL_Engagement_summary]"/>
  </connection>
  <connection id="5" xr16:uid="{B40B9F89-DFAD-4671-9D96-ADBC8E4A32A6}" keepAlive="1" name="Query - TBL_Engagement_summary (2)" description="Connection to the 'TBL_Engagement_summary (2)' query in the workbook." type="5" refreshedVersion="8" background="1" saveData="1">
    <dbPr connection="Provider=Microsoft.Mashup.OleDb.1;Data Source=$Workbook$;Location=&quot;TBL_Engagement_summary (2)&quot;;Extended Properties=&quot;&quot;" command="SELECT * FROM [TBL_Engagement_summary (2)]"/>
  </connection>
  <connection id="6" xr16:uid="{847E3EEE-BB0F-4C26-B17D-1A69D374B907}" keepAlive="1" name="Query - TBL_Post" description="Connection to the 'TBL_Post' query in the workbook." type="5" refreshedVersion="8" background="1" saveData="1">
    <dbPr connection="Provider=Microsoft.Mashup.OleDb.1;Data Source=$Workbook$;Location=TBL_Post;Extended Properties=&quot;&quot;" command="SELECT * FROM [TBL_Po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<sst xmlns="http://schemas.openxmlformats.org/spreadsheetml/2006/main" count="6522" uniqueCount="677">
  <si>
    <t>Post ID</t>
  </si>
  <si>
    <t>Platform</t>
  </si>
  <si>
    <t>Date</t>
  </si>
  <si>
    <t>Content Type</t>
  </si>
  <si>
    <t>Post Text</t>
  </si>
  <si>
    <t>Likes</t>
  </si>
  <si>
    <t>Shares</t>
  </si>
  <si>
    <t>Comments</t>
  </si>
  <si>
    <t>Impressions</t>
  </si>
  <si>
    <t>Reach</t>
  </si>
  <si>
    <t>Clicks</t>
  </si>
  <si>
    <t>Hashtags Used</t>
  </si>
  <si>
    <t>Campaign_Name</t>
  </si>
  <si>
    <t>P001</t>
  </si>
  <si>
    <t>Twitter</t>
  </si>
  <si>
    <t>2024-12-23</t>
  </si>
  <si>
    <t>Reel</t>
  </si>
  <si>
    <t>Explore the latest reel on Myntra! Trendy styles await.</t>
  </si>
  <si>
    <t>#MyntraSale</t>
  </si>
  <si>
    <t>FashionUpgrade</t>
  </si>
  <si>
    <t>P002</t>
  </si>
  <si>
    <t>2025-04-03</t>
  </si>
  <si>
    <t>Text</t>
  </si>
  <si>
    <t>Explore the latest text on Myntra! Trendy styles await.</t>
  </si>
  <si>
    <t>#MyntraFashion</t>
  </si>
  <si>
    <t>EndOfSeasonSale</t>
  </si>
  <si>
    <t>P003</t>
  </si>
  <si>
    <t>YouTube</t>
  </si>
  <si>
    <t>2025-05-12</t>
  </si>
  <si>
    <t>#MyntraFashion,#MyntraSale</t>
  </si>
  <si>
    <t>P004</t>
  </si>
  <si>
    <t>Instagram</t>
  </si>
  <si>
    <t>2024-08-12</t>
  </si>
  <si>
    <t>Story</t>
  </si>
  <si>
    <t>Explore the latest story on Myntra! Trendy styles await.</t>
  </si>
  <si>
    <t>P005</t>
  </si>
  <si>
    <t>2024-06-26</t>
  </si>
  <si>
    <t>#StyleWithMyntra,#MyntraFashion</t>
  </si>
  <si>
    <t>MyntraFestiveEdit</t>
  </si>
  <si>
    <t>P006</t>
  </si>
  <si>
    <t>Facebook</t>
  </si>
  <si>
    <t>2024-10-31</t>
  </si>
  <si>
    <t>Carousel</t>
  </si>
  <si>
    <t>Explore the latest carousel on Myntra! Trendy styles await.</t>
  </si>
  <si>
    <t>#MyntraTrend</t>
  </si>
  <si>
    <t>P007</t>
  </si>
  <si>
    <t>2024-06-24</t>
  </si>
  <si>
    <t>P008</t>
  </si>
  <si>
    <t>2024-07-13</t>
  </si>
  <si>
    <t>Image</t>
  </si>
  <si>
    <t>Explore the latest image on Myntra! Trendy styles await.</t>
  </si>
  <si>
    <t>P009</t>
  </si>
  <si>
    <t>2024-08-30</t>
  </si>
  <si>
    <t>P010</t>
  </si>
  <si>
    <t>2025-03-11</t>
  </si>
  <si>
    <t>StyleRevolution</t>
  </si>
  <si>
    <t>P011</t>
  </si>
  <si>
    <t>2025-02-02</t>
  </si>
  <si>
    <t>#StyleWithMyntra</t>
  </si>
  <si>
    <t>P012</t>
  </si>
  <si>
    <t>2024-07-21</t>
  </si>
  <si>
    <t>#StyleWithMyntra,#MyntraSale</t>
  </si>
  <si>
    <t>P013</t>
  </si>
  <si>
    <t>2024-11-18</t>
  </si>
  <si>
    <t>P014</t>
  </si>
  <si>
    <t>2025-02-16</t>
  </si>
  <si>
    <t>#MyntraSale,#MyntraFashion</t>
  </si>
  <si>
    <t>P015</t>
  </si>
  <si>
    <t>2024-10-24</t>
  </si>
  <si>
    <t>Video</t>
  </si>
  <si>
    <t>Explore the latest video on Myntra! Trendy styles await.</t>
  </si>
  <si>
    <t>#MyntraFashion,#FashionDeals</t>
  </si>
  <si>
    <t>P016</t>
  </si>
  <si>
    <t>2024-08-26</t>
  </si>
  <si>
    <t>#MyntraSale,#FashionDeals</t>
  </si>
  <si>
    <t>P017</t>
  </si>
  <si>
    <t>2025-05-05</t>
  </si>
  <si>
    <t>#FashionDeals</t>
  </si>
  <si>
    <t>P018</t>
  </si>
  <si>
    <t>2024-08-19</t>
  </si>
  <si>
    <t>P019</t>
  </si>
  <si>
    <t>2024-06-23</t>
  </si>
  <si>
    <t>#MyntraSale,#StyleWithMyntra</t>
  </si>
  <si>
    <t>P020</t>
  </si>
  <si>
    <t>2024-09-09</t>
  </si>
  <si>
    <t>P021</t>
  </si>
  <si>
    <t>2025-01-04</t>
  </si>
  <si>
    <t>#StyleWithMyntra,#MyntraTrend</t>
  </si>
  <si>
    <t>P022</t>
  </si>
  <si>
    <t>2025-02-27</t>
  </si>
  <si>
    <t>P023</t>
  </si>
  <si>
    <t>2024-11-06</t>
  </si>
  <si>
    <t>P024</t>
  </si>
  <si>
    <t>2025-01-23</t>
  </si>
  <si>
    <t>P025</t>
  </si>
  <si>
    <t>2025-04-10</t>
  </si>
  <si>
    <t>P026</t>
  </si>
  <si>
    <t>2025-04-05</t>
  </si>
  <si>
    <t>P027</t>
  </si>
  <si>
    <t>2024-09-17</t>
  </si>
  <si>
    <t>P028</t>
  </si>
  <si>
    <t>2025-03-04</t>
  </si>
  <si>
    <t>#MyntraSale,#MyntraTrend</t>
  </si>
  <si>
    <t>P029</t>
  </si>
  <si>
    <t>2025-01-31</t>
  </si>
  <si>
    <t>#MyntraTrend,#MyntraFashion</t>
  </si>
  <si>
    <t>P030</t>
  </si>
  <si>
    <t>2025-02-25</t>
  </si>
  <si>
    <t>P031</t>
  </si>
  <si>
    <t>2024-12-16</t>
  </si>
  <si>
    <t>P032</t>
  </si>
  <si>
    <t>2024-07-31</t>
  </si>
  <si>
    <t>P033</t>
  </si>
  <si>
    <t>2024-08-21</t>
  </si>
  <si>
    <t>P034</t>
  </si>
  <si>
    <t>2025-03-26</t>
  </si>
  <si>
    <t>#MyntraTrend,#FashionDeals</t>
  </si>
  <si>
    <t>P035</t>
  </si>
  <si>
    <t>2024-11-30</t>
  </si>
  <si>
    <t>P036</t>
  </si>
  <si>
    <t>2025-04-19</t>
  </si>
  <si>
    <t>P037</t>
  </si>
  <si>
    <t>2025-01-06</t>
  </si>
  <si>
    <t>P038</t>
  </si>
  <si>
    <t>2025-02-17</t>
  </si>
  <si>
    <t>P039</t>
  </si>
  <si>
    <t>2024-11-25</t>
  </si>
  <si>
    <t>#FashionDeals,#MyntraSale</t>
  </si>
  <si>
    <t>P040</t>
  </si>
  <si>
    <t>2025-03-07</t>
  </si>
  <si>
    <t>P041</t>
  </si>
  <si>
    <t>2025-03-08</t>
  </si>
  <si>
    <t>P042</t>
  </si>
  <si>
    <t>2025-03-05</t>
  </si>
  <si>
    <t>P043</t>
  </si>
  <si>
    <t>2024-12-14</t>
  </si>
  <si>
    <t>P044</t>
  </si>
  <si>
    <t>2025-03-02</t>
  </si>
  <si>
    <t>P045</t>
  </si>
  <si>
    <t>2024-11-01</t>
  </si>
  <si>
    <t>P046</t>
  </si>
  <si>
    <t>2025-05-02</t>
  </si>
  <si>
    <t>P047</t>
  </si>
  <si>
    <t>2025-02-24</t>
  </si>
  <si>
    <t>#FashionDeals,#MyntraFashion</t>
  </si>
  <si>
    <t>P048</t>
  </si>
  <si>
    <t>#MyntraFashion,#StyleWithMyntra</t>
  </si>
  <si>
    <t>P049</t>
  </si>
  <si>
    <t>2024-06-10</t>
  </si>
  <si>
    <t>P050</t>
  </si>
  <si>
    <t>2024-07-03</t>
  </si>
  <si>
    <t>P051</t>
  </si>
  <si>
    <t>2024-06-13</t>
  </si>
  <si>
    <t>P052</t>
  </si>
  <si>
    <t>2025-01-03</t>
  </si>
  <si>
    <t>P053</t>
  </si>
  <si>
    <t>P054</t>
  </si>
  <si>
    <t>2025-03-13</t>
  </si>
  <si>
    <t>P055</t>
  </si>
  <si>
    <t>2024-06-17</t>
  </si>
  <si>
    <t>P056</t>
  </si>
  <si>
    <t>2024-12-18</t>
  </si>
  <si>
    <t>#StyleWithMyntra,#FashionDeals</t>
  </si>
  <si>
    <t>P057</t>
  </si>
  <si>
    <t>2024-10-21</t>
  </si>
  <si>
    <t>P058</t>
  </si>
  <si>
    <t>2025-04-15</t>
  </si>
  <si>
    <t>P059</t>
  </si>
  <si>
    <t>2024-06-22</t>
  </si>
  <si>
    <t>P060</t>
  </si>
  <si>
    <t>2025-01-28</t>
  </si>
  <si>
    <t>P061</t>
  </si>
  <si>
    <t>2024-09-05</t>
  </si>
  <si>
    <t>P062</t>
  </si>
  <si>
    <t>2024-11-22</t>
  </si>
  <si>
    <t>P063</t>
  </si>
  <si>
    <t>P064</t>
  </si>
  <si>
    <t>2024-08-17</t>
  </si>
  <si>
    <t>#FashionDeals,#MyntraTrend</t>
  </si>
  <si>
    <t>P065</t>
  </si>
  <si>
    <t>2025-03-28</t>
  </si>
  <si>
    <t>P066</t>
  </si>
  <si>
    <t>2024-07-26</t>
  </si>
  <si>
    <t>P067</t>
  </si>
  <si>
    <t>2025-03-29</t>
  </si>
  <si>
    <t>P068</t>
  </si>
  <si>
    <t>2024-12-08</t>
  </si>
  <si>
    <t>P069</t>
  </si>
  <si>
    <t>P070</t>
  </si>
  <si>
    <t>2025-04-02</t>
  </si>
  <si>
    <t>P071</t>
  </si>
  <si>
    <t>2024-09-02</t>
  </si>
  <si>
    <t>P072</t>
  </si>
  <si>
    <t>2025-03-03</t>
  </si>
  <si>
    <t>P073</t>
  </si>
  <si>
    <t>2024-10-18</t>
  </si>
  <si>
    <t>P074</t>
  </si>
  <si>
    <t>2024-10-28</t>
  </si>
  <si>
    <t>P075</t>
  </si>
  <si>
    <t>2024-08-01</t>
  </si>
  <si>
    <t>P076</t>
  </si>
  <si>
    <t>2024-11-07</t>
  </si>
  <si>
    <t>P077</t>
  </si>
  <si>
    <t>P078</t>
  </si>
  <si>
    <t>P079</t>
  </si>
  <si>
    <t>2024-10-09</t>
  </si>
  <si>
    <t>P080</t>
  </si>
  <si>
    <t>P081</t>
  </si>
  <si>
    <t>2024-10-19</t>
  </si>
  <si>
    <t>#MyntraTrend,#MyntraSale</t>
  </si>
  <si>
    <t>P082</t>
  </si>
  <si>
    <t>2024-07-24</t>
  </si>
  <si>
    <t>P083</t>
  </si>
  <si>
    <t>2024-10-15</t>
  </si>
  <si>
    <t>#MyntraTrend,#StyleWithMyntra</t>
  </si>
  <si>
    <t>P084</t>
  </si>
  <si>
    <t>2024-12-09</t>
  </si>
  <si>
    <t>P085</t>
  </si>
  <si>
    <t>P086</t>
  </si>
  <si>
    <t>2025-01-27</t>
  </si>
  <si>
    <t>P087</t>
  </si>
  <si>
    <t>2024-06-06</t>
  </si>
  <si>
    <t>P088</t>
  </si>
  <si>
    <t>2024-07-07</t>
  </si>
  <si>
    <t>P089</t>
  </si>
  <si>
    <t>2025-01-10</t>
  </si>
  <si>
    <t>P090</t>
  </si>
  <si>
    <t>2024-06-03</t>
  </si>
  <si>
    <t>P091</t>
  </si>
  <si>
    <t>2025-03-24</t>
  </si>
  <si>
    <t>P092</t>
  </si>
  <si>
    <t>P093</t>
  </si>
  <si>
    <t>2024-12-11</t>
  </si>
  <si>
    <t>P094</t>
  </si>
  <si>
    <t>P095</t>
  </si>
  <si>
    <t>2024-11-08</t>
  </si>
  <si>
    <t>P096</t>
  </si>
  <si>
    <t>2024-09-10</t>
  </si>
  <si>
    <t>P097</t>
  </si>
  <si>
    <t>2024-08-13</t>
  </si>
  <si>
    <t>P098</t>
  </si>
  <si>
    <t>P099</t>
  </si>
  <si>
    <t>2024-07-02</t>
  </si>
  <si>
    <t>P100</t>
  </si>
  <si>
    <t>2025-02-10</t>
  </si>
  <si>
    <t>P101</t>
  </si>
  <si>
    <t>P102</t>
  </si>
  <si>
    <t>2024-09-18</t>
  </si>
  <si>
    <t>P103</t>
  </si>
  <si>
    <t>2024-06-11</t>
  </si>
  <si>
    <t>P104</t>
  </si>
  <si>
    <t>2025-03-23</t>
  </si>
  <si>
    <t>P105</t>
  </si>
  <si>
    <t>2024-06-14</t>
  </si>
  <si>
    <t>P106</t>
  </si>
  <si>
    <t>2025-02-04</t>
  </si>
  <si>
    <t>P107</t>
  </si>
  <si>
    <t>2024-06-21</t>
  </si>
  <si>
    <t>P108</t>
  </si>
  <si>
    <t>2025-03-25</t>
  </si>
  <si>
    <t>P109</t>
  </si>
  <si>
    <t>2024-08-08</t>
  </si>
  <si>
    <t>P110</t>
  </si>
  <si>
    <t>2024-07-29</t>
  </si>
  <si>
    <t>#FashionDeals,#StyleWithMyntra</t>
  </si>
  <si>
    <t>P111</t>
  </si>
  <si>
    <t>2024-11-23</t>
  </si>
  <si>
    <t>P112</t>
  </si>
  <si>
    <t>2024-10-05</t>
  </si>
  <si>
    <t>P113</t>
  </si>
  <si>
    <t>2024-10-02</t>
  </si>
  <si>
    <t>P114</t>
  </si>
  <si>
    <t>2024-11-14</t>
  </si>
  <si>
    <t>P115</t>
  </si>
  <si>
    <t>2025-05-11</t>
  </si>
  <si>
    <t>P116</t>
  </si>
  <si>
    <t>2025-03-18</t>
  </si>
  <si>
    <t>P117</t>
  </si>
  <si>
    <t>2024-11-04</t>
  </si>
  <si>
    <t>P118</t>
  </si>
  <si>
    <t>P119</t>
  </si>
  <si>
    <t>2025-02-07</t>
  </si>
  <si>
    <t>P120</t>
  </si>
  <si>
    <t>P121</t>
  </si>
  <si>
    <t>P122</t>
  </si>
  <si>
    <t>#MyntraFashion,#MyntraTrend</t>
  </si>
  <si>
    <t>P123</t>
  </si>
  <si>
    <t>P124</t>
  </si>
  <si>
    <t>2025-04-06</t>
  </si>
  <si>
    <t>P125</t>
  </si>
  <si>
    <t>2024-09-08</t>
  </si>
  <si>
    <t>P126</t>
  </si>
  <si>
    <t>P127</t>
  </si>
  <si>
    <t>P128</t>
  </si>
  <si>
    <t>P129</t>
  </si>
  <si>
    <t>P130</t>
  </si>
  <si>
    <t>2024-09-29</t>
  </si>
  <si>
    <t>P131</t>
  </si>
  <si>
    <t>P132</t>
  </si>
  <si>
    <t>P133</t>
  </si>
  <si>
    <t>2025-02-06</t>
  </si>
  <si>
    <t>P134</t>
  </si>
  <si>
    <t>2025-04-24</t>
  </si>
  <si>
    <t>P135</t>
  </si>
  <si>
    <t>2024-11-28</t>
  </si>
  <si>
    <t>P136</t>
  </si>
  <si>
    <t>2024-07-11</t>
  </si>
  <si>
    <t>P137</t>
  </si>
  <si>
    <t>P138</t>
  </si>
  <si>
    <t>P139</t>
  </si>
  <si>
    <t>2024-10-29</t>
  </si>
  <si>
    <t>P140</t>
  </si>
  <si>
    <t>2024-07-15</t>
  </si>
  <si>
    <t>P141</t>
  </si>
  <si>
    <t>2024-08-31</t>
  </si>
  <si>
    <t>P142</t>
  </si>
  <si>
    <t>P143</t>
  </si>
  <si>
    <t>P144</t>
  </si>
  <si>
    <t>P145</t>
  </si>
  <si>
    <t>P146</t>
  </si>
  <si>
    <t>2024-06-05</t>
  </si>
  <si>
    <t>P147</t>
  </si>
  <si>
    <t>P148</t>
  </si>
  <si>
    <t>P149</t>
  </si>
  <si>
    <t>2024-06-16</t>
  </si>
  <si>
    <t>P150</t>
  </si>
  <si>
    <t>2024-08-22</t>
  </si>
  <si>
    <t>P151</t>
  </si>
  <si>
    <t>P152</t>
  </si>
  <si>
    <t>2025-04-22</t>
  </si>
  <si>
    <t>P153</t>
  </si>
  <si>
    <t>2025-01-01</t>
  </si>
  <si>
    <t>P154</t>
  </si>
  <si>
    <t>P155</t>
  </si>
  <si>
    <t>2024-12-21</t>
  </si>
  <si>
    <t>P156</t>
  </si>
  <si>
    <t>2024-10-22</t>
  </si>
  <si>
    <t>P157</t>
  </si>
  <si>
    <t>2024-07-23</t>
  </si>
  <si>
    <t>P158</t>
  </si>
  <si>
    <t>2024-08-11</t>
  </si>
  <si>
    <t>P159</t>
  </si>
  <si>
    <t>P160</t>
  </si>
  <si>
    <t>2024-08-24</t>
  </si>
  <si>
    <t>P161</t>
  </si>
  <si>
    <t>2025-02-19</t>
  </si>
  <si>
    <t>P162</t>
  </si>
  <si>
    <t>2025-04-01</t>
  </si>
  <si>
    <t>P163</t>
  </si>
  <si>
    <t>2025-04-08</t>
  </si>
  <si>
    <t>P164</t>
  </si>
  <si>
    <t>P165</t>
  </si>
  <si>
    <t>P166</t>
  </si>
  <si>
    <t>P167</t>
  </si>
  <si>
    <t>P168</t>
  </si>
  <si>
    <t>2024-11-12</t>
  </si>
  <si>
    <t>P169</t>
  </si>
  <si>
    <t>2024-12-03</t>
  </si>
  <si>
    <t>P170</t>
  </si>
  <si>
    <t>2025-04-28</t>
  </si>
  <si>
    <t>P171</t>
  </si>
  <si>
    <t>2024-12-31</t>
  </si>
  <si>
    <t>P172</t>
  </si>
  <si>
    <t>2024-08-14</t>
  </si>
  <si>
    <t>P173</t>
  </si>
  <si>
    <t>2024-12-05</t>
  </si>
  <si>
    <t>P174</t>
  </si>
  <si>
    <t>P175</t>
  </si>
  <si>
    <t>2025-01-17</t>
  </si>
  <si>
    <t>P176</t>
  </si>
  <si>
    <t>2024-06-20</t>
  </si>
  <si>
    <t>P177</t>
  </si>
  <si>
    <t>2024-07-10</t>
  </si>
  <si>
    <t>P178</t>
  </si>
  <si>
    <t>P179</t>
  </si>
  <si>
    <t>P180</t>
  </si>
  <si>
    <t>P181</t>
  </si>
  <si>
    <t>2025-03-21</t>
  </si>
  <si>
    <t>P182</t>
  </si>
  <si>
    <t>P183</t>
  </si>
  <si>
    <t>2024-12-17</t>
  </si>
  <si>
    <t>P184</t>
  </si>
  <si>
    <t>2024-07-28</t>
  </si>
  <si>
    <t>P185</t>
  </si>
  <si>
    <t>2025-01-11</t>
  </si>
  <si>
    <t>P186</t>
  </si>
  <si>
    <t>P187</t>
  </si>
  <si>
    <t>2024-12-22</t>
  </si>
  <si>
    <t>P188</t>
  </si>
  <si>
    <t>P189</t>
  </si>
  <si>
    <t>P190</t>
  </si>
  <si>
    <t>2024-10-04</t>
  </si>
  <si>
    <t>P191</t>
  </si>
  <si>
    <t>P192</t>
  </si>
  <si>
    <t>2024-11-29</t>
  </si>
  <si>
    <t>P193</t>
  </si>
  <si>
    <t>2024-09-11</t>
  </si>
  <si>
    <t>P194</t>
  </si>
  <si>
    <t>P195</t>
  </si>
  <si>
    <t>2024-08-15</t>
  </si>
  <si>
    <t>P196</t>
  </si>
  <si>
    <t>2024-12-19</t>
  </si>
  <si>
    <t>P197</t>
  </si>
  <si>
    <t>P198</t>
  </si>
  <si>
    <t>2024-09-14</t>
  </si>
  <si>
    <t>P199</t>
  </si>
  <si>
    <t>P200</t>
  </si>
  <si>
    <t>2025-04-07</t>
  </si>
  <si>
    <t>P201</t>
  </si>
  <si>
    <t>2025-01-15</t>
  </si>
  <si>
    <t>P202</t>
  </si>
  <si>
    <t>2024-06-02</t>
  </si>
  <si>
    <t>P203</t>
  </si>
  <si>
    <t>2024-11-21</t>
  </si>
  <si>
    <t>P204</t>
  </si>
  <si>
    <t>P205</t>
  </si>
  <si>
    <t>P206</t>
  </si>
  <si>
    <t>P207</t>
  </si>
  <si>
    <t>2024-12-29</t>
  </si>
  <si>
    <t>P208</t>
  </si>
  <si>
    <t>P209</t>
  </si>
  <si>
    <t>2025-03-19</t>
  </si>
  <si>
    <t>P210</t>
  </si>
  <si>
    <t>P211</t>
  </si>
  <si>
    <t>2024-07-18</t>
  </si>
  <si>
    <t>P212</t>
  </si>
  <si>
    <t>P213</t>
  </si>
  <si>
    <t>2025-05-01</t>
  </si>
  <si>
    <t>P214</t>
  </si>
  <si>
    <t>P215</t>
  </si>
  <si>
    <t>2025-05-06</t>
  </si>
  <si>
    <t>P216</t>
  </si>
  <si>
    <t>P217</t>
  </si>
  <si>
    <t>P218</t>
  </si>
  <si>
    <t>P219</t>
  </si>
  <si>
    <t>P220</t>
  </si>
  <si>
    <t>P221</t>
  </si>
  <si>
    <t>P222</t>
  </si>
  <si>
    <t>2024-10-08</t>
  </si>
  <si>
    <t>P223</t>
  </si>
  <si>
    <t>P224</t>
  </si>
  <si>
    <t>2025-05-13</t>
  </si>
  <si>
    <t>P225</t>
  </si>
  <si>
    <t>P226</t>
  </si>
  <si>
    <t>2024-08-07</t>
  </si>
  <si>
    <t>P227</t>
  </si>
  <si>
    <t>2024-06-12</t>
  </si>
  <si>
    <t>P228</t>
  </si>
  <si>
    <t>2024-07-01</t>
  </si>
  <si>
    <t>P229</t>
  </si>
  <si>
    <t>P230</t>
  </si>
  <si>
    <t>P231</t>
  </si>
  <si>
    <t>P232</t>
  </si>
  <si>
    <t>2025-04-29</t>
  </si>
  <si>
    <t>P233</t>
  </si>
  <si>
    <t>P234</t>
  </si>
  <si>
    <t>2024-06-01</t>
  </si>
  <si>
    <t>P235</t>
  </si>
  <si>
    <t>P236</t>
  </si>
  <si>
    <t>P237</t>
  </si>
  <si>
    <t>P238</t>
  </si>
  <si>
    <t>2024-07-16</t>
  </si>
  <si>
    <t>P239</t>
  </si>
  <si>
    <t>P240</t>
  </si>
  <si>
    <t>P241</t>
  </si>
  <si>
    <t>2025-01-18</t>
  </si>
  <si>
    <t>P242</t>
  </si>
  <si>
    <t>P243</t>
  </si>
  <si>
    <t>2025-03-06</t>
  </si>
  <si>
    <t>P244</t>
  </si>
  <si>
    <t>2024-10-25</t>
  </si>
  <si>
    <t>P245</t>
  </si>
  <si>
    <t>2025-01-12</t>
  </si>
  <si>
    <t>P246</t>
  </si>
  <si>
    <t>2024-10-11</t>
  </si>
  <si>
    <t>P247</t>
  </si>
  <si>
    <t>2024-08-27</t>
  </si>
  <si>
    <t>P248</t>
  </si>
  <si>
    <t>P249</t>
  </si>
  <si>
    <t>P250</t>
  </si>
  <si>
    <t>P251</t>
  </si>
  <si>
    <t>2025-03-27</t>
  </si>
  <si>
    <t>P252</t>
  </si>
  <si>
    <t>P253</t>
  </si>
  <si>
    <t>2024-08-03</t>
  </si>
  <si>
    <t>P254</t>
  </si>
  <si>
    <t>2025-01-14</t>
  </si>
  <si>
    <t>P255</t>
  </si>
  <si>
    <t>P256</t>
  </si>
  <si>
    <t>P257</t>
  </si>
  <si>
    <t>P258</t>
  </si>
  <si>
    <t>2024-08-05</t>
  </si>
  <si>
    <t>P259</t>
  </si>
  <si>
    <t>P260</t>
  </si>
  <si>
    <t>2025-02-12</t>
  </si>
  <si>
    <t>P261</t>
  </si>
  <si>
    <t>2024-10-27</t>
  </si>
  <si>
    <t>P262</t>
  </si>
  <si>
    <t>P263</t>
  </si>
  <si>
    <t>2024-08-20</t>
  </si>
  <si>
    <t>P264</t>
  </si>
  <si>
    <t>2025-01-30</t>
  </si>
  <si>
    <t>P265</t>
  </si>
  <si>
    <t>2025-02-20</t>
  </si>
  <si>
    <t>P266</t>
  </si>
  <si>
    <t>P267</t>
  </si>
  <si>
    <t>P268</t>
  </si>
  <si>
    <t>2025-04-13</t>
  </si>
  <si>
    <t>P269</t>
  </si>
  <si>
    <t>2024-11-05</t>
  </si>
  <si>
    <t>P270</t>
  </si>
  <si>
    <t>P271</t>
  </si>
  <si>
    <t>2024-10-17</t>
  </si>
  <si>
    <t>P272</t>
  </si>
  <si>
    <t>P273</t>
  </si>
  <si>
    <t>2024-10-12</t>
  </si>
  <si>
    <t>P274</t>
  </si>
  <si>
    <t>P275</t>
  </si>
  <si>
    <t>P276</t>
  </si>
  <si>
    <t>2024-06-07</t>
  </si>
  <si>
    <t>P277</t>
  </si>
  <si>
    <t>P278</t>
  </si>
  <si>
    <t>2024-11-26</t>
  </si>
  <si>
    <t>P279</t>
  </si>
  <si>
    <t>P280</t>
  </si>
  <si>
    <t>P281</t>
  </si>
  <si>
    <t>2025-03-22</t>
  </si>
  <si>
    <t>P282</t>
  </si>
  <si>
    <t>2024-10-03</t>
  </si>
  <si>
    <t>P283</t>
  </si>
  <si>
    <t>2025-05-09</t>
  </si>
  <si>
    <t>P284</t>
  </si>
  <si>
    <t>P285</t>
  </si>
  <si>
    <t>P286</t>
  </si>
  <si>
    <t>2024-09-25</t>
  </si>
  <si>
    <t>P287</t>
  </si>
  <si>
    <t>P288</t>
  </si>
  <si>
    <t>2025-04-17</t>
  </si>
  <si>
    <t>P289</t>
  </si>
  <si>
    <t>P290</t>
  </si>
  <si>
    <t>2024-12-20</t>
  </si>
  <si>
    <t>P291</t>
  </si>
  <si>
    <t>P292</t>
  </si>
  <si>
    <t>2024-11-17</t>
  </si>
  <si>
    <t>P293</t>
  </si>
  <si>
    <t>2025-05-14</t>
  </si>
  <si>
    <t>P294</t>
  </si>
  <si>
    <t>2024-06-19</t>
  </si>
  <si>
    <t>P295</t>
  </si>
  <si>
    <t>P296</t>
  </si>
  <si>
    <t>2025-02-11</t>
  </si>
  <si>
    <t>P297</t>
  </si>
  <si>
    <t>2024-12-24</t>
  </si>
  <si>
    <t>P298</t>
  </si>
  <si>
    <t>P299</t>
  </si>
  <si>
    <t>P300</t>
  </si>
  <si>
    <t>Week_Start_Date</t>
  </si>
  <si>
    <t>New_Followers</t>
  </si>
  <si>
    <t>Unfollows</t>
  </si>
  <si>
    <t>Total_Followers</t>
  </si>
  <si>
    <t>Engagement_Rate</t>
  </si>
  <si>
    <t>Ad_Spend</t>
  </si>
  <si>
    <t>Start_Date</t>
  </si>
  <si>
    <t>End_Date</t>
  </si>
  <si>
    <t>Objective</t>
  </si>
  <si>
    <t>Total_Budget</t>
  </si>
  <si>
    <t>Target_Platforms</t>
  </si>
  <si>
    <t>Seasonal Clearance Promotion</t>
  </si>
  <si>
    <t>Instagram,Facebook</t>
  </si>
  <si>
    <t>Customer Engagement</t>
  </si>
  <si>
    <t>Instagram,YouTube</t>
  </si>
  <si>
    <t>Festive Collection Launch</t>
  </si>
  <si>
    <t>Facebook,Instagram</t>
  </si>
  <si>
    <t>Brand Awareness &amp; Growth</t>
  </si>
  <si>
    <t>Instagram,Twitter</t>
  </si>
  <si>
    <t>Engagement Rate</t>
  </si>
  <si>
    <t>CTR</t>
  </si>
  <si>
    <t>Total Interactions</t>
  </si>
  <si>
    <t>Youtube</t>
  </si>
  <si>
    <t>Tags</t>
  </si>
  <si>
    <t>Row Labels</t>
  </si>
  <si>
    <t>Grand Total</t>
  </si>
  <si>
    <t>(All)</t>
  </si>
  <si>
    <t>Sum of Likes</t>
  </si>
  <si>
    <t>Sum of Shares</t>
  </si>
  <si>
    <t>Sum of Comments</t>
  </si>
  <si>
    <t>Avg Clicks</t>
  </si>
  <si>
    <t>Avg CTR</t>
  </si>
  <si>
    <t>Avg Engagement</t>
  </si>
  <si>
    <t>Post count</t>
  </si>
  <si>
    <t>Post Count</t>
  </si>
  <si>
    <t>Meets Benchmark</t>
  </si>
  <si>
    <t>Unweighted Avg Engagement Rate</t>
  </si>
  <si>
    <t>Average of Engagement Rate</t>
  </si>
  <si>
    <t>Sum of Total Interactions</t>
  </si>
  <si>
    <t>Column Labels</t>
  </si>
  <si>
    <t>Net_follower/Week</t>
  </si>
  <si>
    <t>NetChanges</t>
  </si>
  <si>
    <t>EndEstimate</t>
  </si>
  <si>
    <t>GrowthRate %</t>
  </si>
  <si>
    <t>StartFollowers</t>
  </si>
  <si>
    <t>Angagement_Rate</t>
  </si>
  <si>
    <t xml:space="preserve"> </t>
  </si>
  <si>
    <t>Count of Post ID</t>
  </si>
  <si>
    <t>Avg of Total Interactions</t>
  </si>
  <si>
    <t>Avg of CTR</t>
  </si>
  <si>
    <t>Avg of Engagement Rate</t>
  </si>
  <si>
    <t>Values</t>
  </si>
  <si>
    <t>Average of Likes</t>
  </si>
  <si>
    <t>Average of Shares</t>
  </si>
  <si>
    <t>Average of Comments</t>
  </si>
  <si>
    <t>Campaign EndDate</t>
  </si>
  <si>
    <t>Campaign StartDate</t>
  </si>
  <si>
    <t>Period</t>
  </si>
  <si>
    <t>Before</t>
  </si>
  <si>
    <t>During</t>
  </si>
  <si>
    <t>Uplift (%)</t>
  </si>
  <si>
    <t>Budget / Spend</t>
  </si>
  <si>
    <t>ROI</t>
  </si>
  <si>
    <t>Net_Followers</t>
  </si>
  <si>
    <t>Sum of Net_Followers</t>
  </si>
  <si>
    <t>Sum of Net_follower/Week</t>
  </si>
  <si>
    <t>2024</t>
  </si>
  <si>
    <t>2025</t>
  </si>
  <si>
    <t>Jan</t>
  </si>
  <si>
    <t>Feb</t>
  </si>
  <si>
    <t>Mar</t>
  </si>
  <si>
    <t>Apr</t>
  </si>
  <si>
    <t>May</t>
  </si>
  <si>
    <t>Jun</t>
  </si>
  <si>
    <t>Jul</t>
  </si>
  <si>
    <t>Aug</t>
  </si>
  <si>
    <t>Sep</t>
  </si>
  <si>
    <t>Oct</t>
  </si>
  <si>
    <t>Nov</t>
  </si>
  <si>
    <t>Dec</t>
  </si>
  <si>
    <t>yyyy-mm</t>
  </si>
  <si>
    <t>2025-05</t>
  </si>
  <si>
    <t>2025-04</t>
  </si>
  <si>
    <t>2025-03</t>
  </si>
  <si>
    <t>2025-02</t>
  </si>
  <si>
    <t>2025-01</t>
  </si>
  <si>
    <t>2024-12</t>
  </si>
  <si>
    <t>2024-11</t>
  </si>
  <si>
    <t>2024-10</t>
  </si>
  <si>
    <t>2024-09</t>
  </si>
  <si>
    <t>2024-08</t>
  </si>
  <si>
    <t>2024-07</t>
  </si>
  <si>
    <t>2024-06</t>
  </si>
  <si>
    <t>yyyy-mm-dd</t>
  </si>
  <si>
    <t>2025-04-21</t>
  </si>
  <si>
    <t>2025-04-14</t>
  </si>
  <si>
    <t>2025-03-31</t>
  </si>
  <si>
    <t>2025-03-17</t>
  </si>
  <si>
    <t>2025-03-10</t>
  </si>
  <si>
    <t>2025-02-03</t>
  </si>
  <si>
    <t>2025-01-20</t>
  </si>
  <si>
    <t>2025-01-13</t>
  </si>
  <si>
    <t>2024-12-30</t>
  </si>
  <si>
    <t>2024-12-02</t>
  </si>
  <si>
    <t>2024-11-11</t>
  </si>
  <si>
    <t>2024-10-14</t>
  </si>
  <si>
    <t>2024-10-07</t>
  </si>
  <si>
    <t>2024-09-30</t>
  </si>
  <si>
    <t>2024-09-23</t>
  </si>
  <si>
    <t>2024-09-16</t>
  </si>
  <si>
    <t>2024-07-22</t>
  </si>
  <si>
    <t>2024-07-08</t>
  </si>
  <si>
    <t>MOVING AVERAGE</t>
  </si>
  <si>
    <t>Net_Followers_Gained</t>
  </si>
  <si>
    <t>Ad_Spend_Actual</t>
  </si>
  <si>
    <t>Cost_per_Follower</t>
  </si>
  <si>
    <t>Sum of Net_Followers_Gained</t>
  </si>
  <si>
    <t>Sum of Ad_Spend_Actual</t>
  </si>
  <si>
    <t>Sum of Cost_per_Follower</t>
  </si>
  <si>
    <t>https://www.loom.com/share/f432322c31114c77998abf51290b9864</t>
  </si>
  <si>
    <t>Click here for - Watch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</si>
</sst>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4009]dd\-mm\-yyyy;@"/>
    <numFmt numFmtId="165" formatCode="0.0000%"/>
    <numFmt numFmtId="166" formatCode="0.0%"/>
    <numFmt numFmtId="167" formatCode="[$-14009]dd\-mm\-yy;@"/>
    <numFmt numFmtId="168" formatCode="0.0"/>
  </numFmts>
  <fonts count="24">
    <font>
      <sz val="11"/>
      <color theme="1"/>
      <name val="Calibri"/>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sz val="10"/>
      <color theme="1"/>
      <name val="Arial"/>
      <family val="2"/>
    </font>
    <font>
      <u/>
      <sz val="11"/>
      <color theme="10"/>
      <name val="Calibri"/>
      <family val="2"/>
      <scheme val="minor"/>
    </font>
    <font>
      <sz val="24"/>
      <color theme="1"/>
      <name val="Calibri"/>
      <family val="2"/>
      <scheme val="minor"/>
    </font>
    <font>
      <b/>
      <sz val="11"/>
      <color theme="1"/>
      <name val="Calibri"/>
      <family val="2"/>
      <scheme val="minor"/>
    </font>
    <font>
      <sz val="8"/>
      <name val="Calibri"/>
      <family val="2"/>
      <scheme val="minor"/>
    </font>
    <font>
      <b/>
      <sz val="16"/>
      <color theme="1"/>
      <name val="Calibri"/>
      <family val="2"/>
      <scheme val="minor"/>
    </font>
    <font>
      <sz val="11"/>
      <color theme="1"/>
      <name val="Calibri"/>
      <family val="2"/>
      <scheme val="minor"/>
    </font>
    <font>
      <sz val="11"/>
      <color theme="0"/>
      <name val="Calibri"/>
      <family val="2"/>
      <scheme val="minor"/>
    </font>
    <font>
      <sz val="10"/>
      <color theme="1"/>
      <name val="Arial Unicode MS"/>
    </font>
    <font>
      <i/>
      <sz val="12"/>
      <color theme="9" tint="-0.499984740745262"/>
      <name val="Calibri"/>
      <family val="2"/>
      <scheme val="minor"/>
    </font>
    <font>
      <sz val="11"/>
      <color rgb="FF00B050"/>
      <name val="Calibri"/>
      <family val="2"/>
      <scheme val="minor"/>
    </font>
    <font>
      <b/>
      <u/>
      <sz val="16"/>
      <color theme="1"/>
      <name val="Calibri"/>
      <family val="2"/>
      <scheme val="minor"/>
    </font>
    <font>
      <sz val="14"/>
      <color theme="1"/>
      <name val="Calibri"/>
      <family val="2"/>
      <scheme val="minor"/>
    </font>
    <font>
      <b/>
      <sz val="14"/>
      <color rgb="FF00B050"/>
      <name val="Calibri"/>
      <family val="2"/>
      <scheme val="minor"/>
    </font>
    <font>
      <sz val="14"/>
      <color rgb="FF0070C0"/>
      <name val="Calibri"/>
      <family val="2"/>
      <scheme val="minor"/>
    </font>
    <font>
      <b/>
      <sz val="14"/>
      <color theme="1"/>
      <name val="Calibri"/>
      <family val="2"/>
      <scheme val="minor"/>
    </font>
    <font>
      <b/>
      <sz val="11"/>
      <color theme="1"/>
      <name val="Calibri"/>
      <scheme val="minor"/>
    </font>
    <font>
      <sz val="8"/>
      <name val="Calibri"/>
      <scheme val="minor"/>
    </font>
    <font>
      <u/>
      <sz val="26"/>
      <color theme="10"/>
      <name val="Calibri"/>
      <family val="2"/>
      <scheme val="minor"/>
    </font>
  </fonts>
  <fills count="11">
    <fill>
      <patternFill patternType="none"/>
    </fill>
    <fill>
      <patternFill patternType="gray125"/>
    </fill>
    <fill>
      <patternFill patternType="solid">
        <fgColor theme="6" tint="0.79998168889431442"/>
        <bgColor indexed="6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rgb="FFFF0000"/>
        <bgColor indexed="64"/>
      </patternFill>
    </fill>
  </fills>
  <borders count="14">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bottom style="thin">
        <color rgb="FF000000"/>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applyNumberFormat="0" applyFill="0" applyBorder="0" applyAlignment="0" applyProtection="0"/>
    <xf numFmtId="9" fontId="11" fillId="0" borderId="0" applyFont="0" applyFill="0" applyBorder="0" applyAlignment="0" applyProtection="0"/>
  </cellStyleXfs>
  <cellXfs count="98">
    <xf numFmtId="0" fontId="0" fillId="0" borderId="0" xfId="0"/>
    <xf numFmtId="0" fontId="3" fillId="0" borderId="0" xfId="0" applyFont="1"/>
    <xf numFmtId="14" fontId="4" fillId="0" borderId="0" xfId="0" applyNumberFormat="1" applyFont="1"/>
    <xf numFmtId="0" fontId="4" fillId="0" borderId="1" xfId="0" applyFont="1" applyBorder="1" applyAlignment="1">
      <alignment wrapText="1"/>
    </xf>
    <xf numFmtId="14" fontId="4" fillId="0" borderId="1" xfId="0" applyNumberFormat="1" applyFont="1" applyBorder="1" applyAlignment="1">
      <alignment wrapText="1"/>
    </xf>
    <xf numFmtId="0" fontId="4" fillId="0" borderId="1" xfId="0" applyFont="1" applyBorder="1" applyAlignment="1">
      <alignment horizontal="right" wrapText="1"/>
    </xf>
    <xf numFmtId="0" fontId="0" fillId="0" borderId="0" xfId="0" applyAlignment="1">
      <alignment wrapText="1"/>
    </xf>
    <xf numFmtId="0" fontId="7" fillId="2" borderId="0" xfId="0" applyFont="1" applyFill="1" applyAlignment="1">
      <alignment horizontal="left" vertical="top"/>
    </xf>
    <xf numFmtId="0" fontId="2" fillId="0" borderId="2" xfId="0" applyFont="1" applyBorder="1" applyAlignment="1">
      <alignment horizontal="center" vertical="top" wrapText="1"/>
    </xf>
    <xf numFmtId="0" fontId="4" fillId="0" borderId="3" xfId="0" applyFont="1" applyBorder="1" applyAlignment="1">
      <alignment wrapText="1"/>
    </xf>
    <xf numFmtId="0" fontId="4" fillId="0" borderId="4" xfId="0" applyFont="1" applyBorder="1" applyAlignment="1">
      <alignment wrapText="1"/>
    </xf>
    <xf numFmtId="0" fontId="4" fillId="0" borderId="5" xfId="0" applyFont="1" applyBorder="1" applyAlignment="1">
      <alignment wrapText="1"/>
    </xf>
    <xf numFmtId="14" fontId="4" fillId="0" borderId="6" xfId="0" applyNumberFormat="1" applyFont="1" applyBorder="1" applyAlignment="1">
      <alignment wrapText="1"/>
    </xf>
    <xf numFmtId="0" fontId="4" fillId="0" borderId="6" xfId="0" applyFont="1" applyBorder="1" applyAlignment="1">
      <alignment wrapText="1"/>
    </xf>
    <xf numFmtId="0" fontId="4" fillId="0" borderId="6" xfId="0" applyFont="1" applyBorder="1" applyAlignment="1">
      <alignment horizontal="right" wrapText="1"/>
    </xf>
    <xf numFmtId="0" fontId="4" fillId="0" borderId="7" xfId="0" applyFont="1" applyBorder="1" applyAlignment="1">
      <alignment wrapText="1"/>
    </xf>
    <xf numFmtId="0" fontId="5" fillId="0" borderId="8" xfId="0" applyFont="1" applyBorder="1" applyAlignment="1">
      <alignment wrapText="1"/>
    </xf>
    <xf numFmtId="14" fontId="5" fillId="0" borderId="9" xfId="0" applyNumberFormat="1" applyFont="1" applyBorder="1" applyAlignment="1">
      <alignment horizontal="right" wrapText="1"/>
    </xf>
    <xf numFmtId="0" fontId="5" fillId="0" borderId="9" xfId="0" applyFont="1" applyBorder="1" applyAlignment="1">
      <alignment wrapText="1"/>
    </xf>
    <xf numFmtId="0" fontId="5" fillId="0" borderId="9" xfId="0" applyFont="1" applyBorder="1" applyAlignment="1">
      <alignment horizontal="right" wrapText="1"/>
    </xf>
    <xf numFmtId="0" fontId="5" fillId="0" borderId="10" xfId="0" applyFont="1" applyBorder="1" applyAlignment="1">
      <alignment vertical="center"/>
    </xf>
    <xf numFmtId="1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10" fillId="0" borderId="0" xfId="0" applyFont="1"/>
    <xf numFmtId="0" fontId="0" fillId="0" borderId="0" xfId="0" applyAlignment="1">
      <alignment horizontal="right"/>
    </xf>
    <xf numFmtId="2" fontId="0" fillId="0" borderId="0" xfId="0" applyNumberFormat="1" applyAlignment="1">
      <alignment horizontal="left"/>
    </xf>
    <xf numFmtId="10" fontId="0" fillId="0" borderId="0" xfId="0" applyNumberFormat="1" applyAlignment="1">
      <alignment horizontal="left"/>
    </xf>
    <xf numFmtId="0" fontId="8" fillId="3" borderId="11" xfId="0" applyFont="1" applyFill="1" applyBorder="1" applyAlignment="1">
      <alignment horizontal="right"/>
    </xf>
    <xf numFmtId="0" fontId="8" fillId="3" borderId="12" xfId="0" applyFont="1" applyFill="1" applyBorder="1"/>
    <xf numFmtId="0" fontId="0" fillId="0" borderId="0" xfId="0">
      <extLst>
        <ext xmlns:xfpb="http://schemas.microsoft.com/office/spreadsheetml/2022/featurepropertybag" uri="{C7286773-470A-42A8-94C5-96B5CB345126}">
          <xfpb:xfComplement i="0"/>
        </ext>
      </extLst>
    </xf>
    <xf numFmtId="10" fontId="8" fillId="3" borderId="12" xfId="0" applyNumberFormat="1" applyFont="1" applyFill="1" applyBorder="1"/>
    <xf numFmtId="0" fontId="8" fillId="3" borderId="11" xfId="0" applyFont="1" applyFill="1" applyBorder="1" applyAlignment="1">
      <alignment horizontal="right" wrapText="1"/>
    </xf>
    <xf numFmtId="0" fontId="1" fillId="0" borderId="0" xfId="0" applyFont="1"/>
    <xf numFmtId="3" fontId="0" fillId="0" borderId="0" xfId="0" applyNumberFormat="1"/>
    <xf numFmtId="0" fontId="14" fillId="0" borderId="0" xfId="0" applyFont="1" applyAlignment="1">
      <alignment horizontal="left"/>
    </xf>
    <xf numFmtId="0" fontId="15" fillId="0" borderId="0" xfId="0" applyFont="1"/>
    <xf numFmtId="9" fontId="0" fillId="0" borderId="0" xfId="2" applyFont="1" applyAlignment="1">
      <alignment horizontal="right"/>
    </xf>
    <xf numFmtId="0" fontId="13" fillId="0" borderId="13" xfId="0" applyFont="1" applyBorder="1" applyAlignment="1">
      <alignment vertical="center"/>
    </xf>
    <xf numFmtId="0" fontId="0" fillId="0" borderId="13" xfId="0" applyBorder="1"/>
    <xf numFmtId="0" fontId="0" fillId="0" borderId="0" xfId="0" applyAlignment="1">
      <alignment horizontal="center"/>
    </xf>
    <xf numFmtId="0" fontId="8" fillId="0" borderId="13" xfId="0" applyFont="1" applyBorder="1" applyAlignment="1">
      <alignment horizontal="center"/>
    </xf>
    <xf numFmtId="0" fontId="16" fillId="0" borderId="0" xfId="0" applyFont="1"/>
    <xf numFmtId="0" fontId="0" fillId="0" borderId="0" xfId="0" applyAlignment="1">
      <alignment horizontal="left" vertical="top" wrapText="1"/>
    </xf>
    <xf numFmtId="0" fontId="0" fillId="0" borderId="0" xfId="0" pivotButton="1" applyAlignment="1">
      <alignment horizontal="left"/>
    </xf>
    <xf numFmtId="0" fontId="0" fillId="0" borderId="0" xfId="0" pivotButton="1" applyAlignment="1">
      <alignment horizontal="left" vertical="top"/>
    </xf>
    <xf numFmtId="0" fontId="0" fillId="0" borderId="0" xfId="0" applyAlignment="1">
      <alignment horizontal="left" vertical="top"/>
    </xf>
    <xf numFmtId="0" fontId="0" fillId="0" borderId="0" xfId="0" pivotButton="1" applyAlignment="1">
      <alignment horizontal="left" vertical="top" wrapText="1"/>
    </xf>
    <xf numFmtId="10" fontId="0" fillId="0" borderId="0" xfId="0" applyNumberFormat="1" applyAlignment="1">
      <alignment horizontal="center"/>
    </xf>
    <xf numFmtId="2" fontId="0" fillId="0" borderId="0" xfId="0" applyNumberFormat="1" applyAlignment="1">
      <alignment horizontal="center"/>
    </xf>
    <xf numFmtId="0" fontId="0" fillId="4" borderId="0" xfId="0" applyFill="1" applyAlignment="1">
      <alignment horizontal="left"/>
    </xf>
    <xf numFmtId="0" fontId="16" fillId="0" borderId="0" xfId="0" applyFont="1" applyAlignment="1">
      <alignment horizontal="left"/>
    </xf>
    <xf numFmtId="0" fontId="17" fillId="2" borderId="0" xfId="0" applyFont="1" applyFill="1" applyAlignment="1">
      <alignment horizontal="left" vertical="top"/>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64" fontId="1" fillId="0" borderId="0" xfId="0" applyNumberFormat="1" applyFont="1"/>
    <xf numFmtId="0" fontId="8" fillId="3" borderId="11" xfId="0" applyFont="1" applyFill="1" applyBorder="1" applyAlignment="1">
      <alignment horizontal="center" vertical="center"/>
    </xf>
    <xf numFmtId="166" fontId="8" fillId="0" borderId="11" xfId="2" applyNumberFormat="1" applyFont="1" applyBorder="1" applyAlignment="1">
      <alignment horizontal="center"/>
    </xf>
    <xf numFmtId="166" fontId="8" fillId="3" borderId="12" xfId="0" applyNumberFormat="1" applyFont="1" applyFill="1" applyBorder="1" applyAlignment="1">
      <alignment horizontal="center"/>
    </xf>
    <xf numFmtId="0" fontId="18" fillId="2" borderId="0" xfId="0" applyFont="1" applyFill="1" applyAlignment="1">
      <alignment horizontal="left" vertical="top"/>
    </xf>
    <xf numFmtId="0" fontId="19" fillId="2" borderId="0" xfId="1" applyFont="1" applyFill="1" applyAlignment="1">
      <alignment horizontal="left" vertical="top"/>
    </xf>
    <xf numFmtId="0" fontId="20" fillId="2" borderId="0" xfId="0" applyFont="1" applyFill="1" applyAlignment="1">
      <alignment horizontal="left" vertical="top"/>
    </xf>
    <xf numFmtId="2" fontId="8" fillId="3" borderId="11" xfId="0" applyNumberFormat="1" applyFont="1" applyFill="1" applyBorder="1" applyAlignment="1">
      <alignment horizontal="center"/>
    </xf>
    <xf numFmtId="2" fontId="8" fillId="3" borderId="12" xfId="0" applyNumberFormat="1" applyFont="1" applyFill="1" applyBorder="1" applyAlignment="1">
      <alignment horizontal="center"/>
    </xf>
    <xf numFmtId="3" fontId="0" fillId="0" borderId="0" xfId="0" applyNumberFormat="1" applyAlignment="1">
      <alignment horizontal="center"/>
    </xf>
    <xf numFmtId="0" fontId="12" fillId="0" borderId="0" xfId="0" applyFont="1"/>
    <xf numFmtId="0" fontId="21" fillId="3" borderId="0" xfId="0" applyFont="1" applyFill="1"/>
    <xf numFmtId="0" fontId="21" fillId="3" borderId="11" xfId="0" applyFont="1" applyFill="1" applyBorder="1"/>
    <xf numFmtId="164" fontId="0" fillId="0" borderId="0" xfId="0" applyNumberFormat="1" applyAlignment="1">
      <alignment horizontal="left"/>
    </xf>
    <xf numFmtId="14" fontId="0" fillId="0" borderId="0" xfId="0" applyNumberFormat="1"/>
    <xf numFmtId="3" fontId="0" fillId="4" borderId="0" xfId="0" applyNumberFormat="1" applyFill="1"/>
    <xf numFmtId="3" fontId="8" fillId="4" borderId="0" xfId="0" applyNumberFormat="1" applyFont="1" applyFill="1"/>
    <xf numFmtId="3" fontId="0" fillId="5" borderId="0" xfId="0" applyNumberFormat="1" applyFill="1"/>
    <xf numFmtId="3" fontId="8" fillId="5" borderId="0" xfId="0" applyNumberFormat="1" applyFont="1" applyFill="1"/>
    <xf numFmtId="3" fontId="0" fillId="6" borderId="0" xfId="0" applyNumberFormat="1" applyFill="1"/>
    <xf numFmtId="3" fontId="8" fillId="6" borderId="0" xfId="0" applyNumberFormat="1" applyFont="1" applyFill="1"/>
    <xf numFmtId="10" fontId="0" fillId="7" borderId="0" xfId="0" applyNumberFormat="1" applyFill="1"/>
    <xf numFmtId="10" fontId="8" fillId="7" borderId="0" xfId="0" applyNumberFormat="1" applyFont="1" applyFill="1"/>
    <xf numFmtId="0" fontId="0" fillId="0" borderId="0" xfId="0" pivotButton="1" applyAlignment="1">
      <alignment wrapText="1"/>
    </xf>
    <xf numFmtId="164" fontId="0" fillId="0" borderId="0" xfId="0" applyNumberFormat="1" applyAlignment="1">
      <alignment horizontal="left" indent="2"/>
    </xf>
    <xf numFmtId="167" fontId="0" fillId="0" borderId="0" xfId="0" applyNumberFormat="1"/>
    <xf numFmtId="0" fontId="21" fillId="3" borderId="12" xfId="0" applyFont="1" applyFill="1" applyBorder="1"/>
    <xf numFmtId="168" fontId="0" fillId="0" borderId="0" xfId="0" applyNumberFormat="1"/>
    <xf numFmtId="0" fontId="8" fillId="8" borderId="0" xfId="0" applyFont="1" applyFill="1" applyAlignment="1">
      <alignment wrapText="1"/>
    </xf>
    <xf numFmtId="0" fontId="8" fillId="8" borderId="0" xfId="0" applyFont="1" applyFill="1"/>
    <xf numFmtId="0" fontId="8" fillId="9" borderId="0" xfId="0" applyFont="1" applyFill="1"/>
    <xf numFmtId="0" fontId="8" fillId="9" borderId="11" xfId="0" applyFont="1" applyFill="1" applyBorder="1"/>
    <xf numFmtId="10" fontId="8" fillId="0" borderId="0" xfId="0" applyNumberFormat="1" applyFont="1"/>
    <xf numFmtId="0" fontId="8" fillId="0" borderId="0" xfId="0" applyFont="1"/>
    <xf numFmtId="0" fontId="0" fillId="2" borderId="0" xfId="0" applyFill="1"/>
    <xf numFmtId="0" fontId="17" fillId="2" borderId="0" xfId="0" applyFont="1" applyFill="1"/>
    <xf numFmtId="0" fontId="7" fillId="10" borderId="0" xfId="0" applyFont="1" applyFill="1" applyAlignment="1">
      <alignment horizontal="left" vertical="top"/>
    </xf>
    <xf numFmtId="0" fontId="8" fillId="0" borderId="13" xfId="0" applyFont="1" applyBorder="1" applyAlignment="1">
      <alignment horizontal="center"/>
    </xf>
    <xf numFmtId="0" fontId="23" fillId="0" borderId="0" xfId="1" applyFont="1" applyAlignment="1">
      <alignment horizontal="center"/>
    </xf>
  </cellXfs>
  <cellStyles count="3">
    <cellStyle name="Hyperlink" xfId="1" builtinId="8"/>
    <cellStyle name="Normal" xfId="0" builtinId="0"/>
    <cellStyle name="Per cent" xfId="2" builtinId="5"/>
  </cellStyles>
  <dxfs count="184">
    <dxf>
      <numFmt numFmtId="2" formatCode="0.00"/>
    </dxf>
    <dxf>
      <alignment wrapText="1"/>
    </dxf>
    <dxf>
      <alignment wrapText="1"/>
    </dxf>
    <dxf>
      <alignment wrapText="1"/>
    </dxf>
    <dxf>
      <alignment wrapText="1"/>
    </dxf>
    <dxf>
      <numFmt numFmtId="3" formatCode="#,##0"/>
    </dxf>
    <dxf>
      <numFmt numFmtId="3" formatCode="#,##0"/>
    </dxf>
    <dxf>
      <alignment horizontal="center"/>
    </dxf>
    <dxf>
      <alignment horizontal="right"/>
    </dxf>
    <dxf>
      <alignment horizontal="right"/>
    </dxf>
    <dxf>
      <alignment horizontal="general"/>
    </dxf>
    <dxf>
      <numFmt numFmtId="3" formatCode="#,##0"/>
    </dxf>
    <dxf>
      <alignment horizontal="right"/>
    </dxf>
    <dxf>
      <alignment horizontal="left"/>
    </dxf>
    <dxf>
      <alignment horizontal="left"/>
    </dxf>
    <dxf>
      <font>
        <b/>
        <family val="2"/>
      </font>
    </dxf>
    <dxf>
      <fill>
        <patternFill patternType="solid">
          <bgColor theme="8" tint="0.59999389629810485"/>
        </patternFill>
      </fill>
    </dxf>
    <dxf>
      <fill>
        <patternFill patternType="solid">
          <bgColor theme="8"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5" tint="0.79998168889431442"/>
        </patternFill>
      </fill>
    </dxf>
    <dxf>
      <numFmt numFmtId="1" formatCode="0"/>
    </dxf>
    <dxf>
      <alignment horizontal="left"/>
    </dxf>
    <dxf>
      <alignment horizontal="left"/>
    </dxf>
    <dxf>
      <alignment horizontal="left"/>
    </dxf>
    <dxf>
      <alignment horizontal="left"/>
    </dxf>
    <dxf>
      <alignment horizontal="left"/>
    </dxf>
    <dxf>
      <alignment horizontal="left"/>
    </dxf>
    <dxf>
      <alignment vertical="top"/>
    </dxf>
    <dxf>
      <alignment vertical="top"/>
    </dxf>
    <dxf>
      <alignment wrapText="1"/>
    </dxf>
    <dxf>
      <numFmt numFmtId="2" formatCode="0.00"/>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vertical="top"/>
    </dxf>
    <dxf>
      <alignment vertical="top"/>
    </dxf>
    <dxf>
      <alignment wrapText="1"/>
    </dxf>
    <dxf>
      <alignment wrapText="1"/>
    </dxf>
    <dxf>
      <alignment vertical="top"/>
    </dxf>
    <dxf>
      <alignment horizontal="left"/>
    </dxf>
    <dxf>
      <alignment vertical="top"/>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wrapText="1"/>
    </dxf>
    <dxf>
      <numFmt numFmtId="2" formatCode="0.00"/>
    </dxf>
    <dxf>
      <alignment horizontal="right" vertical="bottom" textRotation="0" wrapText="0" indent="0" justifyLastLine="0" shrinkToFit="0" readingOrder="0"/>
    </dxf>
    <dxf>
      <numFmt numFmtId="3" formatCode="#,##0"/>
    </dxf>
    <dxf>
      <numFmt numFmtId="3" formatCode="#,##0"/>
    </dxf>
    <dxf>
      <numFmt numFmtId="3" formatCode="#,##0"/>
    </dxf>
    <dxf>
      <numFmt numFmtId="0" formatCode="General"/>
    </dxf>
    <dxf>
      <font>
        <b val="0"/>
        <i val="0"/>
        <strike val="0"/>
        <condense val="0"/>
        <extend val="0"/>
        <outline val="0"/>
        <shadow val="0"/>
        <u val="none"/>
        <vertAlign val="baseline"/>
        <sz val="11"/>
        <color theme="1"/>
        <name val="Calibri"/>
        <family val="2"/>
        <scheme val="minor"/>
      </font>
    </dxf>
    <dxf>
      <alignment horizontal="left"/>
    </dxf>
    <dxf>
      <alignment horizontal="left"/>
    </dxf>
    <dxf>
      <alignment horizontal="left"/>
    </dxf>
    <dxf>
      <alignment horizontal="right"/>
    </dxf>
    <dxf>
      <alignment horizontal="left"/>
    </dxf>
    <dxf>
      <alignment horizontal="left"/>
    </dxf>
    <dxf>
      <alignment horizontal="left"/>
    </dxf>
    <dxf>
      <alignment horizontal="right"/>
    </dxf>
    <dxf>
      <alignment horizontal="right"/>
    </dxf>
    <dxf>
      <alignment horizontal="left"/>
    </dxf>
    <dxf>
      <alignment horizontal="left"/>
    </dxf>
    <dxf>
      <alignment horizontal="right"/>
    </dxf>
    <dxf>
      <numFmt numFmtId="2" formatCode="0.00"/>
    </dxf>
    <dxf>
      <numFmt numFmtId="2" formatCode="0.00"/>
    </dxf>
    <dxf>
      <font>
        <b/>
        <i val="0"/>
      </font>
      <fill>
        <patternFill>
          <bgColor theme="6" tint="0.59996337778862885"/>
        </patternFill>
      </fill>
    </dxf>
    <dxf>
      <font>
        <b/>
        <i val="0"/>
      </font>
      <fill>
        <patternFill>
          <bgColor theme="8" tint="0.59996337778862885"/>
        </patternFill>
      </fill>
    </dxf>
    <dxf>
      <numFmt numFmtId="0" formatCode="General"/>
    </dxf>
    <dxf>
      <numFmt numFmtId="0" formatCode="General"/>
    </dxf>
    <dxf>
      <numFmt numFmtId="0" formatCode="General"/>
    </dxf>
    <dxf>
      <numFmt numFmtId="0" formatCode="General"/>
    </dxf>
    <dxf>
      <numFmt numFmtId="164" formatCode="[$-14009]dd\-mm\-yyyy;@"/>
    </dxf>
    <dxf>
      <numFmt numFmtId="164" formatCode="[$-14009]dd\-mm\-yyyy;@"/>
    </dxf>
    <dxf>
      <numFmt numFmtId="0" formatCode="General"/>
    </dxf>
    <dxf>
      <numFmt numFmtId="2" formatCode="0.00"/>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164" formatCode="[$-14009]dd\-mm\-yyyy;@"/>
    </dxf>
    <dxf>
      <numFmt numFmtId="164" formatCode="[$-14009]dd\-mm\-yyyy;@"/>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14009]dd\-mm\-yyyy;@"/>
    </dxf>
    <dxf>
      <numFmt numFmtId="0" formatCode="General"/>
    </dxf>
    <dxf>
      <numFmt numFmtId="0" formatCode="General"/>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none"/>
      </font>
      <numFmt numFmtId="19" formatCode="m/d/yyyy"/>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none"/>
      </font>
      <numFmt numFmtId="19" formatCode="m/d/yyyy"/>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[Myntra_Social_Media_Analytics.xlsx]T2_Engagement Analysis!PivotTable3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'T2_Engagement Analysis'!$G$27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'T2_Engagement Analysis'!$F$28:$F$38</c:f>
              <c:strCache>
                <c:ptCount val="10"/>
                <c:pt idx="0">
                  <c:v>P220</c:v>
                </c:pt>
                <c:pt idx="1">
                  <c:v>P058</c:v>
                </c:pt>
                <c:pt idx="2">
                  <c:v>P232</c:v>
                </c:pt>
                <c:pt idx="3">
                  <c:v>P178</c:v>
                </c:pt>
                <c:pt idx="4">
                  <c:v>P175</c:v>
                </c:pt>
                <c:pt idx="5">
                  <c:v>P062</c:v>
                </c:pt>
                <c:pt idx="6">
                  <c:v>P264</c:v>
                </c:pt>
                <c:pt idx="7">
                  <c:v>P143</c:v>
                </c:pt>
                <c:pt idx="8">
                  <c:v>P210</c:v>
                </c:pt>
                <c:pt idx="9">
                  <c:v>P070</c:v>
                </c:pt>
              </c:strCache>
            </c:strRef>
          </c:cat>
          <c:val>
            <c:numRef>
              <c:f>'T2_Engagement Analysis'!$G$28:$G$38</c:f>
              <c:numCache>
                <c:formatCode>0.00%</c:formatCode>
                <c:ptCount val="10"/>
                <c:pt idx="0">
                  <c:v>1.81292517006803</c:v>
                </c:pt>
                <c:pt idx="1">
                  <c:v>0.86601941747572797</c:v>
                </c:pt>
                <c:pt idx="2">
                  <c:v>0.71686746987951799</c:v>
                </c:pt>
                <c:pt idx="3">
                  <c:v>0.70387596899224802</c:v>
                </c:pt>
                <c:pt idx="4">
                  <c:v>0.65082159624413205</c:v>
                </c:pt>
                <c:pt idx="5">
                  <c:v>0.53773584905660399</c:v>
                </c:pt>
                <c:pt idx="6">
                  <c:v>0.53389830508474601</c:v>
                </c:pt>
                <c:pt idx="7">
                  <c:v>0.50192307692307703</c:v>
                </c:pt>
                <c:pt idx="8">
                  <c:v>0.485184076623765</c:v>
                </c:pt>
                <c:pt idx="9">
                  <c:v>0.38274706867671698</c:v>
                </c:pt>
              </c:numCache>
            </c:numRef>
          </c:val>
          <c:extLst>
            <c:ext xmlns:c16="http://schemas.microsoft.com/office/drawing/2014/chart" uri="{C3380CC4-5D6E-409C-BE32-E72D297353CC}">
              <c16:uniqueId val="{00000000-21D7-40F0-8985-1509BFC288A9}"/>
            </c:ext>
          </c:extLst>
        </c:ser>
        <c:dLbls>
          <c:showLegendKey val="0"/>
          <c:showVal val="0"/>
          <c:showCatName val="0"/>
          <c:showSerName val="0"/>
          <c:showPercent val="0"/>
          <c:showBubbleSize val="0"/>
        </c:dLbls>
        <c:gapWidth val="150"/>
        <c:shape val="box"/>
        <c:axId val="62060992"/>
        <c:axId val="62058592"/>
        <c:axId val="1442599200"/>
      </c:bar3DChart>
      <c:catAx>
        <c:axId val="6206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058592"/>
        <c:crosses val="autoZero"/>
        <c:auto val="1"/>
        <c:lblAlgn val="ctr"/>
        <c:lblOffset val="100"/>
        <c:noMultiLvlLbl val="0"/>
      </c:catAx>
      <c:valAx>
        <c:axId val="62058592"/>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060992"/>
        <c:crosses val="autoZero"/>
        <c:crossBetween val="between"/>
      </c:valAx>
      <c:serAx>
        <c:axId val="14425992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05859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[Myntra_Social_Media_Analytics.xlsx]T2_Engagement Analysis!PivotTable7</c:name>
    <c:fmtId val="0"/>
  </c:pivotSource>
  <c:chart>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'T2_Engagement Analysis'!$G$107</c:f>
              <c:strCache>
                <c:ptCount val="1"/>
                <c:pt idx="0">
                  <c:v>Avg Clicks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'T2_Engagement Analysis'!$F$108:$F$113</c:f>
              <c:strCache>
                <c:ptCount val="5"/>
                <c:pt idx="0">
                  <c:v>#MyntraTrend</c:v>
                </c:pt>
                <c:pt idx="1">
                  <c:v>#FashionDeals</c:v>
                </c:pt>
                <c:pt idx="2">
                  <c:v>#MyntraSale</c:v>
                </c:pt>
                <c:pt idx="3">
                  <c:v>#StyleWithMyntra</c:v>
                </c:pt>
                <c:pt idx="4">
                  <c:v>#MyntraFashion</c:v>
                </c:pt>
              </c:strCache>
            </c:strRef>
          </c:cat>
          <c:val>
            <c:numRef>
              <c:f>'T2_Engagement Analysis'!$G$108:$G$113</c:f>
              <c:numCache>
                <c:formatCode>0.00</c:formatCode>
                <c:ptCount val="5"/>
                <c:pt idx="0">
                  <c:v>165.27173913043478</c:v>
                </c:pt>
                <c:pt idx="1">
                  <c:v>152.57499999999999</c:v>
                </c:pt>
                <c:pt idx="2">
                  <c:v>149.70103092783506</c:v>
                </c:pt>
                <c:pt idx="3">
                  <c:v>146.16346153846155</c:v>
                </c:pt>
                <c:pt idx="4">
                  <c:v>140.96385542168676</c:v>
                </c:pt>
              </c:numCache>
            </c:numRef>
          </c:val>
          <c:extLst>
            <c:ext xmlns:c16="http://schemas.microsoft.com/office/drawing/2014/chart" uri="{C3380CC4-5D6E-409C-BE32-E72D297353CC}">
              <c16:uniqueId val="{00000000-D529-4740-B490-11E8EE32B2E7}"/>
            </c:ext>
          </c:extLst>
        </c:ser>
        <c:ser>
          <c:idx val="1"/>
          <c:order val="1"/>
          <c:tx>
            <c:strRef>
              <c:f>'T2_Engagement Analysis'!$H$107</c:f>
              <c:strCache>
                <c:ptCount val="1"/>
                <c:pt idx="0">
                  <c:v>Avg CTR</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'T2_Engagement Analysis'!$F$108:$F$113</c:f>
              <c:strCache>
                <c:ptCount val="5"/>
                <c:pt idx="0">
                  <c:v>#MyntraTrend</c:v>
                </c:pt>
                <c:pt idx="1">
                  <c:v>#FashionDeals</c:v>
                </c:pt>
                <c:pt idx="2">
                  <c:v>#MyntraSale</c:v>
                </c:pt>
                <c:pt idx="3">
                  <c:v>#StyleWithMyntra</c:v>
                </c:pt>
                <c:pt idx="4">
                  <c:v>#MyntraFashion</c:v>
                </c:pt>
              </c:strCache>
            </c:strRef>
          </c:cat>
          <c:val>
            <c:numRef>
              <c:f>'T2_Engagement Analysis'!$H$108:$H$113</c:f>
              <c:numCache>
                <c:formatCode>0.00%</c:formatCode>
                <c:ptCount val="5"/>
                <c:pt idx="0">
                  <c:v>1.6243103136057157E-2</c:v>
                </c:pt>
                <c:pt idx="1">
                  <c:v>1.2067782300563677E-2</c:v>
                </c:pt>
                <c:pt idx="2">
                  <c:v>1.2320658783554797E-2</c:v>
                </c:pt>
                <c:pt idx="3">
                  <c:v>9.0066758342913899E-3</c:v>
                </c:pt>
                <c:pt idx="4">
                  <c:v>1.0360992695402889E-2</c:v>
                </c:pt>
              </c:numCache>
            </c:numRef>
          </c:val>
          <c:extLst>
            <c:ext xmlns:c16="http://schemas.microsoft.com/office/drawing/2014/chart" uri="{C3380CC4-5D6E-409C-BE32-E72D297353CC}">
              <c16:uniqueId val="{00000001-D529-4740-B490-11E8EE32B2E7}"/>
            </c:ext>
          </c:extLst>
        </c:ser>
        <c:ser>
          <c:idx val="2"/>
          <c:order val="2"/>
          <c:tx>
            <c:strRef>
              <c:f>'T2_Engagement Analysis'!$I$107</c:f>
              <c:strCache>
                <c:ptCount val="1"/>
                <c:pt idx="0">
                  <c:v>Avg Engagement</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'T2_Engagement Analysis'!$F$108:$F$113</c:f>
              <c:strCache>
                <c:ptCount val="5"/>
                <c:pt idx="0">
                  <c:v>#MyntraTrend</c:v>
                </c:pt>
                <c:pt idx="1">
                  <c:v>#FashionDeals</c:v>
                </c:pt>
                <c:pt idx="2">
                  <c:v>#MyntraSale</c:v>
                </c:pt>
                <c:pt idx="3">
                  <c:v>#StyleWithMyntra</c:v>
                </c:pt>
                <c:pt idx="4">
                  <c:v>#MyntraFashion</c:v>
                </c:pt>
              </c:strCache>
            </c:strRef>
          </c:cat>
          <c:val>
            <c:numRef>
              <c:f>'T2_Engagement Analysis'!$I$108:$I$113</c:f>
              <c:numCache>
                <c:formatCode>0.00%</c:formatCode>
                <c:ptCount val="5"/>
                <c:pt idx="0">
                  <c:v>0.14353069934635868</c:v>
                </c:pt>
                <c:pt idx="1">
                  <c:v>0.13661098759977458</c:v>
                </c:pt>
                <c:pt idx="2">
                  <c:v>0.14917346050861879</c:v>
                </c:pt>
                <c:pt idx="3">
                  <c:v>0.15618194212592129</c:v>
                </c:pt>
                <c:pt idx="4">
                  <c:v>0.14549346635859287</c:v>
                </c:pt>
              </c:numCache>
            </c:numRef>
          </c:val>
          <c:extLst>
            <c:ext xmlns:c16="http://schemas.microsoft.com/office/drawing/2014/chart" uri="{C3380CC4-5D6E-409C-BE32-E72D297353CC}">
              <c16:uniqueId val="{00000002-D529-4740-B490-11E8EE32B2E7}"/>
            </c:ext>
          </c:extLst>
        </c:ser>
        <c:ser>
          <c:idx val="3"/>
          <c:order val="3"/>
          <c:tx>
            <c:strRef>
              <c:f>'T2_Engagement Analysis'!$J$107</c:f>
              <c:strCache>
                <c:ptCount val="1"/>
                <c:pt idx="0">
                  <c:v>Post count</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'T2_Engagement Analysis'!$F$108:$F$113</c:f>
              <c:strCache>
                <c:ptCount val="5"/>
                <c:pt idx="0">
                  <c:v>#MyntraTrend</c:v>
                </c:pt>
                <c:pt idx="1">
                  <c:v>#FashionDeals</c:v>
                </c:pt>
                <c:pt idx="2">
                  <c:v>#MyntraSale</c:v>
                </c:pt>
                <c:pt idx="3">
                  <c:v>#StyleWithMyntra</c:v>
                </c:pt>
                <c:pt idx="4">
                  <c:v>#MyntraFashion</c:v>
                </c:pt>
              </c:strCache>
            </c:strRef>
          </c:cat>
          <c:val>
            <c:numRef>
              <c:f>'T2_Engagement Analysis'!$J$108:$J$113</c:f>
              <c:numCache>
                <c:formatCode>General</c:formatCode>
                <c:ptCount val="5"/>
                <c:pt idx="0">
                  <c:v>92</c:v>
                </c:pt>
                <c:pt idx="1">
                  <c:v>80</c:v>
                </c:pt>
                <c:pt idx="2">
                  <c:v>97</c:v>
                </c:pt>
                <c:pt idx="3">
                  <c:v>104</c:v>
                </c:pt>
                <c:pt idx="4">
                  <c:v>83</c:v>
                </c:pt>
              </c:numCache>
            </c:numRef>
          </c:val>
          <c:extLst>
            <c:ext xmlns:c16="http://schemas.microsoft.com/office/drawing/2014/chart" uri="{C3380CC4-5D6E-409C-BE32-E72D297353CC}">
              <c16:uniqueId val="{00000003-D529-4740-B490-11E8EE32B2E7}"/>
            </c:ext>
          </c:extLst>
        </c:ser>
        <c:dLbls>
          <c:showLegendKey val="0"/>
          <c:showVal val="0"/>
          <c:showCatName val="0"/>
          <c:showSerName val="0"/>
          <c:showPercent val="0"/>
          <c:showBubbleSize val="0"/>
        </c:dLbls>
        <c:gapWidth val="182"/>
        <c:overlap val="-50"/>
        <c:axId val="1239359712"/>
        <c:axId val="61110304"/>
      </c:barChart>
      <c:catAx>
        <c:axId val="123935971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110304"/>
        <c:crosses val="autoZero"/>
        <c:auto val="1"/>
        <c:lblAlgn val="ctr"/>
        <c:lblOffset val="100"/>
        <c:noMultiLvlLbl val="0"/>
      </c:catAx>
      <c:valAx>
        <c:axId val="611103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935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[Myntra_Social_Media_Analytics.xlsx]T3_Platform_Analysis!PivotTable1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8727034120735"/>
          <c:y val="0.14249781277340332"/>
          <c:w val="0.68638670166229221"/>
          <c:h val="0.65853091280256637"/>
        </c:manualLayout>
      </c:layout>
      <c:barChart>
        <c:barDir val="col"/>
        <c:grouping val="clustered"/>
        <c:varyColors val="0"/>
        <c:ser>
          <c:idx val="0"/>
          <c:order val="0"/>
          <c:tx>
            <c:strRef>
              <c:f>T3_Platform_Analysis!$G$9:$G$10</c:f>
              <c:strCache>
                <c:ptCount val="1"/>
                <c:pt idx="0">
                  <c:v>Facebook</c:v>
                </c:pt>
              </c:strCache>
            </c:strRef>
          </c:tx>
          <c:spPr>
            <a:solidFill>
              <a:schemeClr val="accent1"/>
            </a:solidFill>
            <a:ln>
              <a:noFill/>
            </a:ln>
            <a:effectLst/>
          </c:spPr>
          <c:invertIfNegative val="0"/>
          <c:cat>
            <c:strRef>
              <c:f>T3_Platform_Analysis!$F$11:$F$17</c:f>
              <c:strCache>
                <c:ptCount val="6"/>
                <c:pt idx="0">
                  <c:v>Carousel</c:v>
                </c:pt>
                <c:pt idx="1">
                  <c:v>Image</c:v>
                </c:pt>
                <c:pt idx="2">
                  <c:v>Reel</c:v>
                </c:pt>
                <c:pt idx="3">
                  <c:v>Story</c:v>
                </c:pt>
                <c:pt idx="4">
                  <c:v>Text</c:v>
                </c:pt>
                <c:pt idx="5">
                  <c:v>Video</c:v>
                </c:pt>
              </c:strCache>
            </c:strRef>
          </c:cat>
          <c:val>
            <c:numRef>
              <c:f>T3_Platform_Analysis!$G$11:$G$17</c:f>
              <c:numCache>
                <c:formatCode>0.00%</c:formatCode>
                <c:ptCount val="6"/>
                <c:pt idx="0">
                  <c:v>0.12109666407469055</c:v>
                </c:pt>
                <c:pt idx="1">
                  <c:v>0.12061112766412392</c:v>
                </c:pt>
                <c:pt idx="2">
                  <c:v>0.10701843199404039</c:v>
                </c:pt>
                <c:pt idx="3">
                  <c:v>0.1623105123293774</c:v>
                </c:pt>
                <c:pt idx="4">
                  <c:v>0.10885122171624459</c:v>
                </c:pt>
                <c:pt idx="5">
                  <c:v>0.12547951027961801</c:v>
                </c:pt>
              </c:numCache>
            </c:numRef>
          </c:val>
          <c:extLst>
            <c:ext xmlns:c16="http://schemas.microsoft.com/office/drawing/2014/chart" uri="{C3380CC4-5D6E-409C-BE32-E72D297353CC}">
              <c16:uniqueId val="{00000000-21F0-42B6-BDC5-E5CEF3FAB3EE}"/>
            </c:ext>
          </c:extLst>
        </c:ser>
        <c:ser>
          <c:idx val="1"/>
          <c:order val="1"/>
          <c:tx>
            <c:strRef>
              <c:f>T3_Platform_Analysis!$H$9:$H$10</c:f>
              <c:strCache>
                <c:ptCount val="1"/>
                <c:pt idx="0">
                  <c:v>Instagram</c:v>
                </c:pt>
              </c:strCache>
            </c:strRef>
          </c:tx>
          <c:spPr>
            <a:solidFill>
              <a:schemeClr val="accent2"/>
            </a:solidFill>
            <a:ln>
              <a:noFill/>
            </a:ln>
            <a:effectLst/>
          </c:spPr>
          <c:invertIfNegative val="0"/>
          <c:cat>
            <c:strRef>
              <c:f>T3_Platform_Analysis!$F$11:$F$17</c:f>
              <c:strCache>
                <c:ptCount val="6"/>
                <c:pt idx="0">
                  <c:v>Carousel</c:v>
                </c:pt>
                <c:pt idx="1">
                  <c:v>Image</c:v>
                </c:pt>
                <c:pt idx="2">
                  <c:v>Reel</c:v>
                </c:pt>
                <c:pt idx="3">
                  <c:v>Story</c:v>
                </c:pt>
                <c:pt idx="4">
                  <c:v>Text</c:v>
                </c:pt>
                <c:pt idx="5">
                  <c:v>Video</c:v>
                </c:pt>
              </c:strCache>
            </c:strRef>
          </c:cat>
          <c:val>
            <c:numRef>
              <c:f>T3_Platform_Analysis!$H$11:$H$17</c:f>
              <c:numCache>
                <c:formatCode>0.00%</c:formatCode>
                <c:ptCount val="6"/>
                <c:pt idx="0">
                  <c:v>0.14956648565946415</c:v>
                </c:pt>
                <c:pt idx="1">
                  <c:v>0.14086940708541543</c:v>
                </c:pt>
                <c:pt idx="2">
                  <c:v>0.21692441679102503</c:v>
                </c:pt>
                <c:pt idx="3">
                  <c:v>0.2226051385980625</c:v>
                </c:pt>
                <c:pt idx="4">
                  <c:v>0.1254916397210408</c:v>
                </c:pt>
                <c:pt idx="5">
                  <c:v>0.22639645328555758</c:v>
                </c:pt>
              </c:numCache>
            </c:numRef>
          </c:val>
          <c:extLst>
            <c:ext xmlns:c16="http://schemas.microsoft.com/office/drawing/2014/chart" uri="{C3380CC4-5D6E-409C-BE32-E72D297353CC}">
              <c16:uniqueId val="{00000001-21F0-42B6-BDC5-E5CEF3FAB3EE}"/>
            </c:ext>
          </c:extLst>
        </c:ser>
        <c:ser>
          <c:idx val="2"/>
          <c:order val="2"/>
          <c:tx>
            <c:strRef>
              <c:f>T3_Platform_Analysis!$I$9:$I$10</c:f>
              <c:strCache>
                <c:ptCount val="1"/>
                <c:pt idx="0">
                  <c:v>Twitter</c:v>
                </c:pt>
              </c:strCache>
            </c:strRef>
          </c:tx>
          <c:spPr>
            <a:solidFill>
              <a:schemeClr val="accent3"/>
            </a:solidFill>
            <a:ln>
              <a:noFill/>
            </a:ln>
            <a:effectLst/>
          </c:spPr>
          <c:invertIfNegative val="0"/>
          <c:cat>
            <c:strRef>
              <c:f>T3_Platform_Analysis!$F$11:$F$17</c:f>
              <c:strCache>
                <c:ptCount val="6"/>
                <c:pt idx="0">
                  <c:v>Carousel</c:v>
                </c:pt>
                <c:pt idx="1">
                  <c:v>Image</c:v>
                </c:pt>
                <c:pt idx="2">
                  <c:v>Reel</c:v>
                </c:pt>
                <c:pt idx="3">
                  <c:v>Story</c:v>
                </c:pt>
                <c:pt idx="4">
                  <c:v>Text</c:v>
                </c:pt>
                <c:pt idx="5">
                  <c:v>Video</c:v>
                </c:pt>
              </c:strCache>
            </c:strRef>
          </c:cat>
          <c:val>
            <c:numRef>
              <c:f>T3_Platform_Analysis!$I$11:$I$17</c:f>
              <c:numCache>
                <c:formatCode>0.00%</c:formatCode>
                <c:ptCount val="6"/>
                <c:pt idx="0">
                  <c:v>0.15401289461195852</c:v>
                </c:pt>
                <c:pt idx="1">
                  <c:v>0.14212117244811467</c:v>
                </c:pt>
                <c:pt idx="2">
                  <c:v>0.1353085192973971</c:v>
                </c:pt>
                <c:pt idx="3">
                  <c:v>0.20267997004618613</c:v>
                </c:pt>
                <c:pt idx="4">
                  <c:v>0.12174585283291929</c:v>
                </c:pt>
                <c:pt idx="5">
                  <c:v>0.12181404077116192</c:v>
                </c:pt>
              </c:numCache>
            </c:numRef>
          </c:val>
          <c:extLst>
            <c:ext xmlns:c16="http://schemas.microsoft.com/office/drawing/2014/chart" uri="{C3380CC4-5D6E-409C-BE32-E72D297353CC}">
              <c16:uniqueId val="{00000002-21F0-42B6-BDC5-E5CEF3FAB3EE}"/>
            </c:ext>
          </c:extLst>
        </c:ser>
        <c:ser>
          <c:idx val="3"/>
          <c:order val="3"/>
          <c:tx>
            <c:strRef>
              <c:f>T3_Platform_Analysis!$J$9:$J$10</c:f>
              <c:strCache>
                <c:ptCount val="1"/>
                <c:pt idx="0">
                  <c:v>YouTube</c:v>
                </c:pt>
              </c:strCache>
            </c:strRef>
          </c:tx>
          <c:spPr>
            <a:solidFill>
              <a:schemeClr val="accent4"/>
            </a:solidFill>
            <a:ln>
              <a:noFill/>
            </a:ln>
            <a:effectLst/>
          </c:spPr>
          <c:invertIfNegative val="0"/>
          <c:cat>
            <c:strRef>
              <c:f>T3_Platform_Analysis!$F$11:$F$17</c:f>
              <c:strCache>
                <c:ptCount val="6"/>
                <c:pt idx="0">
                  <c:v>Carousel</c:v>
                </c:pt>
                <c:pt idx="1">
                  <c:v>Image</c:v>
                </c:pt>
                <c:pt idx="2">
                  <c:v>Reel</c:v>
                </c:pt>
                <c:pt idx="3">
                  <c:v>Story</c:v>
                </c:pt>
                <c:pt idx="4">
                  <c:v>Text</c:v>
                </c:pt>
                <c:pt idx="5">
                  <c:v>Video</c:v>
                </c:pt>
              </c:strCache>
            </c:strRef>
          </c:cat>
          <c:val>
            <c:numRef>
              <c:f>T3_Platform_Analysis!$J$11:$J$17</c:f>
              <c:numCache>
                <c:formatCode>0.00%</c:formatCode>
                <c:ptCount val="6"/>
                <c:pt idx="0">
                  <c:v>0.18122624677822843</c:v>
                </c:pt>
                <c:pt idx="1">
                  <c:v>0.15060864723859627</c:v>
                </c:pt>
                <c:pt idx="2">
                  <c:v>0.10884132981723139</c:v>
                </c:pt>
                <c:pt idx="3">
                  <c:v>9.3220206245054213E-2</c:v>
                </c:pt>
                <c:pt idx="4">
                  <c:v>0.11195715294459543</c:v>
                </c:pt>
                <c:pt idx="5">
                  <c:v>0.13561723338044726</c:v>
                </c:pt>
              </c:numCache>
            </c:numRef>
          </c:val>
          <c:extLst>
            <c:ext xmlns:c16="http://schemas.microsoft.com/office/drawing/2014/chart" uri="{C3380CC4-5D6E-409C-BE32-E72D297353CC}">
              <c16:uniqueId val="{00000003-21F0-42B6-BDC5-E5CEF3FAB3EE}"/>
            </c:ext>
          </c:extLst>
        </c:ser>
        <c:dLbls>
          <c:showLegendKey val="0"/>
          <c:showVal val="0"/>
          <c:showCatName val="0"/>
          <c:showSerName val="0"/>
          <c:showPercent val="0"/>
          <c:showBubbleSize val="0"/>
        </c:dLbls>
        <c:gapWidth val="219"/>
        <c:overlap val="-27"/>
        <c:axId val="50772112"/>
        <c:axId val="50773072"/>
      </c:barChart>
      <c:catAx>
        <c:axId val="5077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73072"/>
        <c:crosses val="autoZero"/>
        <c:auto val="1"/>
        <c:lblAlgn val="ctr"/>
        <c:lblOffset val="100"/>
        <c:noMultiLvlLbl val="0"/>
      </c:catAx>
      <c:valAx>
        <c:axId val="50773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7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3"/>
          <c:order val="3"/>
          <c:tx>
            <c:strRef>
              <c:f>T3_Platform_Analysis!$J$41</c:f>
              <c:strCache>
                <c:ptCount val="1"/>
                <c:pt idx="0">
                  <c:v>GrowthRate %</c:v>
                </c:pt>
              </c:strCache>
            </c:strRef>
          </c:tx>
          <c:spPr>
            <a:solidFill>
              <a:schemeClr val="accent4"/>
            </a:solidFill>
            <a:ln>
              <a:noFill/>
            </a:ln>
            <a:effectLst/>
            <a:sp3d/>
          </c:spPr>
          <c:invertIfNegative val="0"/>
          <c:cat>
            <c:strRef>
              <c:f>T3_Platform_Analysis!$F$42:$F$45</c:f>
              <c:strCache>
                <c:ptCount val="4"/>
                <c:pt idx="0">
                  <c:v>Facebook</c:v>
                </c:pt>
                <c:pt idx="1">
                  <c:v>Instagram</c:v>
                </c:pt>
                <c:pt idx="2">
                  <c:v>Twitter</c:v>
                </c:pt>
                <c:pt idx="3">
                  <c:v>Youtube</c:v>
                </c:pt>
              </c:strCache>
            </c:strRef>
          </c:cat>
          <c:val>
            <c:numRef>
              <c:f>T3_Platform_Analysis!$J$42:$J$45</c:f>
              <c:numCache>
                <c:formatCode>0%</c:formatCode>
                <c:ptCount val="4"/>
                <c:pt idx="0">
                  <c:v>0.10333813836156287</c:v>
                </c:pt>
                <c:pt idx="1">
                  <c:v>1.125427861396352</c:v>
                </c:pt>
                <c:pt idx="2">
                  <c:v>0.28043232493836578</c:v>
                </c:pt>
                <c:pt idx="3">
                  <c:v>8.9415375591602286E-2</c:v>
                </c:pt>
              </c:numCache>
            </c:numRef>
          </c:val>
          <c:extLst>
            <c:ext xmlns:c16="http://schemas.microsoft.com/office/drawing/2014/chart" uri="{C3380CC4-5D6E-409C-BE32-E72D297353CC}">
              <c16:uniqueId val="{00000003-927A-49B8-8614-C04350BCFA36}"/>
            </c:ext>
          </c:extLst>
        </c:ser>
        <c:dLbls>
          <c:showLegendKey val="0"/>
          <c:showVal val="0"/>
          <c:showCatName val="0"/>
          <c:showSerName val="0"/>
          <c:showPercent val="0"/>
          <c:showBubbleSize val="0"/>
        </c:dLbls>
        <c:gapWidth val="150"/>
        <c:shape val="box"/>
        <c:axId val="62060992"/>
        <c:axId val="62058112"/>
        <c:axId val="0"/>
        <c:extLst>
          <c:ext xmlns:c15="http://schemas.microsoft.com/office/drawing/2012/chart" uri="{02D57815-91ED-43cb-92C2-25804820EDAC}">
            <c15:filteredBarSeries>
              <c15:ser>
                <c:idx val="0"/>
                <c:order val="0"/>
                <c:tx>
                  <c:strRef>
                    <c:extLst>
                      <c:ext uri="{02D57815-91ED-43cb-92C2-25804820EDAC}">
                        <c15:formulaRef>
                          <c15:sqref>T3_Platform_Analysis!$G$41</c15:sqref>
                        </c15:formulaRef>
                      </c:ext>
                    </c:extLst>
                    <c:strCache>
                      <c:ptCount val="1"/>
                      <c:pt idx="0">
                        <c:v>NetChanges</c:v>
                      </c:pt>
                    </c:strCache>
                  </c:strRef>
                </c:tx>
                <c:spPr>
                  <a:solidFill>
                    <a:schemeClr val="accent1"/>
                  </a:solidFill>
                  <a:ln>
                    <a:noFill/>
                  </a:ln>
                  <a:effectLst/>
                  <a:sp3d/>
                </c:spPr>
                <c:invertIfNegative val="0"/>
                <c:cat>
                  <c:strRef>
                    <c:extLst>
                      <c:ext uri="{02D57815-91ED-43cb-92C2-25804820EDAC}">
                        <c15:formulaRef>
                          <c15:sqref>T3_Platform_Analysis!$F$42:$F$45</c15:sqref>
                        </c15:formulaRef>
                      </c:ext>
                    </c:extLst>
                    <c:strCache>
                      <c:ptCount val="4"/>
                      <c:pt idx="0">
                        <c:v>Facebook</c:v>
                      </c:pt>
                      <c:pt idx="1">
                        <c:v>Instagram</c:v>
                      </c:pt>
                      <c:pt idx="2">
                        <c:v>Twitter</c:v>
                      </c:pt>
                      <c:pt idx="3">
                        <c:v>Youtube</c:v>
                      </c:pt>
                    </c:strCache>
                  </c:strRef>
                </c:cat>
                <c:val>
                  <c:numRef>
                    <c:extLst>
                      <c:ext uri="{02D57815-91ED-43cb-92C2-25804820EDAC}">
                        <c15:formulaRef>
                          <c15:sqref>T3_Platform_Analysis!$G$42:$G$45</c15:sqref>
                        </c15:formulaRef>
                      </c:ext>
                    </c:extLst>
                    <c:numCache>
                      <c:formatCode>#,##0</c:formatCode>
                      <c:ptCount val="4"/>
                      <c:pt idx="0">
                        <c:v>35557</c:v>
                      </c:pt>
                      <c:pt idx="1">
                        <c:v>48004</c:v>
                      </c:pt>
                      <c:pt idx="2">
                        <c:v>41177</c:v>
                      </c:pt>
                      <c:pt idx="3">
                        <c:v>35367</c:v>
                      </c:pt>
                    </c:numCache>
                  </c:numRef>
                </c:val>
                <c:extLst>
                  <c:ext xmlns:c16="http://schemas.microsoft.com/office/drawing/2014/chart" uri="{C3380CC4-5D6E-409C-BE32-E72D297353CC}">
                    <c16:uniqueId val="{00000000-927A-49B8-8614-C04350BCFA36}"/>
                  </c:ext>
                </c:extLst>
              </c15:ser>
            </c15:filteredBarSeries>
            <c15:filteredBarSeries>
              <c15:ser>
                <c:idx val="1"/>
                <c:order val="1"/>
                <c:tx>
                  <c:strRef>
                    <c:extLst>
                      <c:ext xmlns:c15="http://schemas.microsoft.com/office/drawing/2012/chart" uri="{02D57815-91ED-43cb-92C2-25804820EDAC}">
                        <c15:formulaRef>
                          <c15:sqref>T3_Platform_Analysis!$H$41</c15:sqref>
                        </c15:formulaRef>
                      </c:ext>
                    </c:extLst>
                    <c:strCache>
                      <c:ptCount val="1"/>
                      <c:pt idx="0">
                        <c:v>StartFollowers</c:v>
                      </c:pt>
                    </c:strCache>
                  </c:strRef>
                </c:tx>
                <c:spPr>
                  <a:solidFill>
                    <a:schemeClr val="accent2"/>
                  </a:solidFill>
                  <a:ln>
                    <a:noFill/>
                  </a:ln>
                  <a:effectLst/>
                  <a:sp3d/>
                </c:spPr>
                <c:invertIfNegative val="0"/>
                <c:cat>
                  <c:strRef>
                    <c:extLst>
                      <c:ext xmlns:c15="http://schemas.microsoft.com/office/drawing/2012/chart" uri="{02D57815-91ED-43cb-92C2-25804820EDAC}">
                        <c15:formulaRef>
                          <c15:sqref>T3_Platform_Analysis!$F$42:$F$45</c15:sqref>
                        </c15:formulaRef>
                      </c:ext>
                    </c:extLst>
                    <c:strCache>
                      <c:ptCount val="4"/>
                      <c:pt idx="0">
                        <c:v>Facebook</c:v>
                      </c:pt>
                      <c:pt idx="1">
                        <c:v>Instagram</c:v>
                      </c:pt>
                      <c:pt idx="2">
                        <c:v>Twitter</c:v>
                      </c:pt>
                      <c:pt idx="3">
                        <c:v>Youtube</c:v>
                      </c:pt>
                    </c:strCache>
                  </c:strRef>
                </c:cat>
                <c:val>
                  <c:numRef>
                    <c:extLst>
                      <c:ext xmlns:c15="http://schemas.microsoft.com/office/drawing/2012/chart" uri="{02D57815-91ED-43cb-92C2-25804820EDAC}">
                        <c15:formulaRef>
                          <c15:sqref>T3_Platform_Analysis!$H$42:$H$45</c15:sqref>
                        </c15:formulaRef>
                      </c:ext>
                    </c:extLst>
                    <c:numCache>
                      <c:formatCode>#,##0</c:formatCode>
                      <c:ptCount val="4"/>
                      <c:pt idx="0">
                        <c:v>344084</c:v>
                      </c:pt>
                      <c:pt idx="1">
                        <c:v>42654</c:v>
                      </c:pt>
                      <c:pt idx="2">
                        <c:v>146834</c:v>
                      </c:pt>
                      <c:pt idx="3">
                        <c:v>395536</c:v>
                      </c:pt>
                    </c:numCache>
                  </c:numRef>
                </c:val>
                <c:extLst xmlns:c15="http://schemas.microsoft.com/office/drawing/2012/chart">
                  <c:ext xmlns:c16="http://schemas.microsoft.com/office/drawing/2014/chart" uri="{C3380CC4-5D6E-409C-BE32-E72D297353CC}">
                    <c16:uniqueId val="{00000001-927A-49B8-8614-C04350BCFA36}"/>
                  </c:ext>
                </c:extLst>
              </c15:ser>
            </c15:filteredBarSeries>
            <c15:filteredBarSeries>
              <c15:ser>
                <c:idx val="2"/>
                <c:order val="2"/>
                <c:tx>
                  <c:strRef>
                    <c:extLst>
                      <c:ext xmlns:c15="http://schemas.microsoft.com/office/drawing/2012/chart" uri="{02D57815-91ED-43cb-92C2-25804820EDAC}">
                        <c15:formulaRef>
                          <c15:sqref>T3_Platform_Analysis!$I$41</c15:sqref>
                        </c15:formulaRef>
                      </c:ext>
                    </c:extLst>
                    <c:strCache>
                      <c:ptCount val="1"/>
                      <c:pt idx="0">
                        <c:v>EndEstimate</c:v>
                      </c:pt>
                    </c:strCache>
                  </c:strRef>
                </c:tx>
                <c:spPr>
                  <a:solidFill>
                    <a:schemeClr val="accent3"/>
                  </a:solidFill>
                  <a:ln>
                    <a:noFill/>
                  </a:ln>
                  <a:effectLst/>
                  <a:sp3d/>
                </c:spPr>
                <c:invertIfNegative val="0"/>
                <c:cat>
                  <c:strRef>
                    <c:extLst>
                      <c:ext xmlns:c15="http://schemas.microsoft.com/office/drawing/2012/chart" uri="{02D57815-91ED-43cb-92C2-25804820EDAC}">
                        <c15:formulaRef>
                          <c15:sqref>T3_Platform_Analysis!$F$42:$F$45</c15:sqref>
                        </c15:formulaRef>
                      </c:ext>
                    </c:extLst>
                    <c:strCache>
                      <c:ptCount val="4"/>
                      <c:pt idx="0">
                        <c:v>Facebook</c:v>
                      </c:pt>
                      <c:pt idx="1">
                        <c:v>Instagram</c:v>
                      </c:pt>
                      <c:pt idx="2">
                        <c:v>Twitter</c:v>
                      </c:pt>
                      <c:pt idx="3">
                        <c:v>Youtube</c:v>
                      </c:pt>
                    </c:strCache>
                  </c:strRef>
                </c:cat>
                <c:val>
                  <c:numRef>
                    <c:extLst>
                      <c:ext xmlns:c15="http://schemas.microsoft.com/office/drawing/2012/chart" uri="{02D57815-91ED-43cb-92C2-25804820EDAC}">
                        <c15:formulaRef>
                          <c15:sqref>T3_Platform_Analysis!$I$42:$I$45</c15:sqref>
                        </c15:formulaRef>
                      </c:ext>
                    </c:extLst>
                    <c:numCache>
                      <c:formatCode>#,##0</c:formatCode>
                      <c:ptCount val="4"/>
                      <c:pt idx="0">
                        <c:v>379641</c:v>
                      </c:pt>
                      <c:pt idx="1">
                        <c:v>90658</c:v>
                      </c:pt>
                      <c:pt idx="2">
                        <c:v>188011</c:v>
                      </c:pt>
                      <c:pt idx="3">
                        <c:v>430903</c:v>
                      </c:pt>
                    </c:numCache>
                  </c:numRef>
                </c:val>
                <c:extLst xmlns:c15="http://schemas.microsoft.com/office/drawing/2012/chart">
                  <c:ext xmlns:c16="http://schemas.microsoft.com/office/drawing/2014/chart" uri="{C3380CC4-5D6E-409C-BE32-E72D297353CC}">
                    <c16:uniqueId val="{00000002-927A-49B8-8614-C04350BCFA36}"/>
                  </c:ext>
                </c:extLst>
              </c15:ser>
            </c15:filteredBarSeries>
          </c:ext>
        </c:extLst>
      </c:bar3DChart>
      <c:catAx>
        <c:axId val="6206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8112"/>
        <c:crosses val="autoZero"/>
        <c:auto val="1"/>
        <c:lblAlgn val="ctr"/>
        <c:lblOffset val="100"/>
        <c:noMultiLvlLbl val="0"/>
      </c:catAx>
      <c:valAx>
        <c:axId val="62058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6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6"/>
          <c:order val="0"/>
          <c:tx>
            <c:v>Facebook</c:v>
          </c:tx>
          <c:spPr>
            <a:ln w="25400" cap="rnd">
              <a:noFill/>
              <a:round/>
            </a:ln>
            <a:effectLst>
              <a:outerShdw blurRad="57150" dist="19050" dir="5400000" algn="ctr" rotWithShape="0">
                <a:srgbClr val="000000">
                  <a:alpha val="63000"/>
                </a:srgbClr>
              </a:outerShdw>
            </a:effectLst>
          </c:spPr>
          <c:marker>
            <c:symbol val="circle"/>
            <c:size val="6"/>
            <c:spPr>
              <a:solidFill>
                <a:srgbClr val="FFFF00"/>
              </a:solidFill>
              <a:ln w="9525" cap="rnd">
                <a:solidFill>
                  <a:schemeClr val="accent6">
                    <a:lumMod val="80000"/>
                    <a:lumOff val="20000"/>
                  </a:schemeClr>
                </a:solidFill>
                <a:round/>
              </a:ln>
              <a:effectLst>
                <a:outerShdw blurRad="57150" dist="19050" dir="5400000" algn="ctr" rotWithShape="0">
                  <a:srgbClr val="000000">
                    <a:alpha val="63000"/>
                  </a:srgbClr>
                </a:outerShdw>
              </a:effectLst>
            </c:spPr>
          </c:marker>
          <c:trendline>
            <c:spPr>
              <a:ln w="19050" cap="rnd">
                <a:solidFill>
                  <a:srgbClr val="FFFF00"/>
                </a:solidFill>
                <a:prstDash val="sysDash"/>
              </a:ln>
              <a:effectLst/>
            </c:spPr>
            <c:trendlineType val="linear"/>
            <c:forward val="1000"/>
            <c:dispRSqr val="1"/>
            <c:dispEq val="1"/>
            <c:trendlineLbl>
              <c:layout>
                <c:manualLayout>
                  <c:x val="0.14245545159772138"/>
                  <c:y val="-0.19592048610562152"/>
                </c:manualLayout>
              </c:layout>
              <c:tx>
                <c:rich>
                  <a:bodyPr rot="0" spcFirstLastPara="1" vertOverflow="ellipsis" vert="horz" wrap="square" anchor="ctr" anchorCtr="1"/>
                  <a:lstStyle/>
                  <a:p>
                    <a:pPr lvl="8" algn="ctr" rtl="0">
                      <a:defRPr sz="900" b="0" i="0" u="none" strike="noStrike" kern="1200" baseline="0">
                        <a:solidFill>
                          <a:srgbClr val="FFFFFF">
                            <a:lumMod val="75000"/>
                          </a:srgbClr>
                        </a:solidFill>
                        <a:latin typeface="+mn-lt"/>
                        <a:ea typeface="+mn-ea"/>
                        <a:cs typeface="+mn-cs"/>
                      </a:defRPr>
                    </a:pPr>
                    <a:r>
                      <a:rPr lang="en-US" b="1" baseline="0">
                        <a:solidFill>
                          <a:srgbClr val="00B050"/>
                        </a:solidFill>
                      </a:rPr>
                      <a:t>Facebook</a:t>
                    </a:r>
                    <a:br>
                      <a:rPr lang="en-US" baseline="0"/>
                    </a:br>
                    <a:r>
                      <a:rPr lang="en-US" baseline="0"/>
                      <a:t>y = -1E-05x + 5.9376</a:t>
                    </a:r>
                    <a:br>
                      <a:rPr lang="en-US" baseline="0"/>
                    </a:br>
                    <a:r>
                      <a:rPr lang="en-US" baseline="0"/>
                      <a:t>R² = 0.0034</a:t>
                    </a:r>
                    <a:endParaRPr lang="en-US"/>
                  </a:p>
                </c:rich>
              </c:tx>
              <c:numFmt formatCode="General" sourceLinked="0"/>
              <c:spPr>
                <a:noFill/>
                <a:ln>
                  <a:noFill/>
                </a:ln>
                <a:effectLst/>
              </c:spPr>
              <c:txPr>
                <a:bodyPr rot="0" spcFirstLastPara="1" vertOverflow="ellipsis" vert="horz" wrap="square" anchor="ctr" anchorCtr="1"/>
                <a:lstStyle/>
                <a:p>
                  <a:pPr lvl="8" algn="ctr" rtl="0">
                    <a:defRPr sz="900" b="0" i="0" u="none" strike="noStrike" kern="1200" baseline="0">
                      <a:solidFill>
                        <a:srgbClr val="FFFFFF">
                          <a:lumMod val="75000"/>
                        </a:srgbClr>
                      </a:solidFill>
                      <a:latin typeface="+mn-lt"/>
                      <a:ea typeface="+mn-ea"/>
                      <a:cs typeface="+mn-cs"/>
                    </a:defRPr>
                  </a:pPr>
                  <a:endParaRPr lang="en-US"/>
                </a:p>
              </c:txPr>
            </c:trendlineLbl>
          </c:trendline>
          <c:xVal>
            <c:numRef>
              <c:f>Dump!$B$5:$B$54</c:f>
              <c:numCache>
                <c:formatCode>General</c:formatCode>
                <c:ptCount val="50"/>
                <c:pt idx="0">
                  <c:v>49400</c:v>
                </c:pt>
                <c:pt idx="1">
                  <c:v>48419</c:v>
                </c:pt>
                <c:pt idx="2">
                  <c:v>3582</c:v>
                </c:pt>
                <c:pt idx="3">
                  <c:v>7875</c:v>
                </c:pt>
                <c:pt idx="4">
                  <c:v>25920</c:v>
                </c:pt>
                <c:pt idx="5">
                  <c:v>47603</c:v>
                </c:pt>
                <c:pt idx="6">
                  <c:v>23461</c:v>
                </c:pt>
                <c:pt idx="7">
                  <c:v>21453</c:v>
                </c:pt>
                <c:pt idx="8">
                  <c:v>29116</c:v>
                </c:pt>
                <c:pt idx="9">
                  <c:v>21539</c:v>
                </c:pt>
                <c:pt idx="10">
                  <c:v>20553</c:v>
                </c:pt>
                <c:pt idx="11">
                  <c:v>22713</c:v>
                </c:pt>
                <c:pt idx="12">
                  <c:v>31853</c:v>
                </c:pt>
                <c:pt idx="13">
                  <c:v>23489</c:v>
                </c:pt>
                <c:pt idx="14">
                  <c:v>40323</c:v>
                </c:pt>
                <c:pt idx="15">
                  <c:v>20560</c:v>
                </c:pt>
                <c:pt idx="16">
                  <c:v>23853</c:v>
                </c:pt>
                <c:pt idx="17">
                  <c:v>45708</c:v>
                </c:pt>
                <c:pt idx="18">
                  <c:v>17951</c:v>
                </c:pt>
                <c:pt idx="19">
                  <c:v>25140</c:v>
                </c:pt>
                <c:pt idx="20">
                  <c:v>47502</c:v>
                </c:pt>
                <c:pt idx="21">
                  <c:v>18656</c:v>
                </c:pt>
                <c:pt idx="22">
                  <c:v>18601</c:v>
                </c:pt>
                <c:pt idx="23">
                  <c:v>26103</c:v>
                </c:pt>
                <c:pt idx="24">
                  <c:v>28498</c:v>
                </c:pt>
                <c:pt idx="25">
                  <c:v>39997</c:v>
                </c:pt>
                <c:pt idx="26">
                  <c:v>38452</c:v>
                </c:pt>
                <c:pt idx="27">
                  <c:v>4996</c:v>
                </c:pt>
                <c:pt idx="28">
                  <c:v>30214</c:v>
                </c:pt>
                <c:pt idx="29">
                  <c:v>42824</c:v>
                </c:pt>
                <c:pt idx="30">
                  <c:v>7285</c:v>
                </c:pt>
                <c:pt idx="31">
                  <c:v>43836</c:v>
                </c:pt>
                <c:pt idx="32">
                  <c:v>2315</c:v>
                </c:pt>
                <c:pt idx="33">
                  <c:v>11901</c:v>
                </c:pt>
                <c:pt idx="34">
                  <c:v>47462</c:v>
                </c:pt>
                <c:pt idx="35">
                  <c:v>40478</c:v>
                </c:pt>
                <c:pt idx="36">
                  <c:v>24384</c:v>
                </c:pt>
                <c:pt idx="37">
                  <c:v>26925</c:v>
                </c:pt>
                <c:pt idx="38">
                  <c:v>14203</c:v>
                </c:pt>
                <c:pt idx="39">
                  <c:v>37903</c:v>
                </c:pt>
                <c:pt idx="40">
                  <c:v>26455</c:v>
                </c:pt>
                <c:pt idx="41">
                  <c:v>4839</c:v>
                </c:pt>
                <c:pt idx="42">
                  <c:v>26067</c:v>
                </c:pt>
                <c:pt idx="43">
                  <c:v>43420</c:v>
                </c:pt>
                <c:pt idx="44">
                  <c:v>38610</c:v>
                </c:pt>
                <c:pt idx="45">
                  <c:v>42307</c:v>
                </c:pt>
                <c:pt idx="46">
                  <c:v>30635</c:v>
                </c:pt>
                <c:pt idx="47">
                  <c:v>46670</c:v>
                </c:pt>
                <c:pt idx="48">
                  <c:v>7924</c:v>
                </c:pt>
                <c:pt idx="49">
                  <c:v>9566</c:v>
                </c:pt>
              </c:numCache>
            </c:numRef>
          </c:xVal>
          <c:yVal>
            <c:numRef>
              <c:f>Dump!$C$5:$C$54</c:f>
              <c:numCache>
                <c:formatCode>General</c:formatCode>
                <c:ptCount val="50"/>
                <c:pt idx="0">
                  <c:v>4</c:v>
                </c:pt>
                <c:pt idx="1">
                  <c:v>5.59</c:v>
                </c:pt>
                <c:pt idx="2">
                  <c:v>3.86</c:v>
                </c:pt>
                <c:pt idx="3">
                  <c:v>2.6</c:v>
                </c:pt>
                <c:pt idx="4">
                  <c:v>4.83</c:v>
                </c:pt>
                <c:pt idx="5">
                  <c:v>2.4900000000000002</c:v>
                </c:pt>
                <c:pt idx="6">
                  <c:v>9.4600000000000009</c:v>
                </c:pt>
                <c:pt idx="7">
                  <c:v>8.52</c:v>
                </c:pt>
                <c:pt idx="8">
                  <c:v>4.9400000000000004</c:v>
                </c:pt>
                <c:pt idx="9">
                  <c:v>9.39</c:v>
                </c:pt>
                <c:pt idx="10">
                  <c:v>4.55</c:v>
                </c:pt>
                <c:pt idx="11">
                  <c:v>7.8</c:v>
                </c:pt>
                <c:pt idx="12">
                  <c:v>3.85</c:v>
                </c:pt>
                <c:pt idx="13">
                  <c:v>8.0299999999999994</c:v>
                </c:pt>
                <c:pt idx="14">
                  <c:v>8.6999999999999993</c:v>
                </c:pt>
                <c:pt idx="15">
                  <c:v>6.37</c:v>
                </c:pt>
                <c:pt idx="16">
                  <c:v>4.51</c:v>
                </c:pt>
                <c:pt idx="17">
                  <c:v>5.61</c:v>
                </c:pt>
                <c:pt idx="18">
                  <c:v>8.1999999999999993</c:v>
                </c:pt>
                <c:pt idx="19">
                  <c:v>3.09</c:v>
                </c:pt>
                <c:pt idx="20">
                  <c:v>2.02</c:v>
                </c:pt>
                <c:pt idx="21">
                  <c:v>8.11</c:v>
                </c:pt>
                <c:pt idx="22">
                  <c:v>7.47</c:v>
                </c:pt>
                <c:pt idx="23">
                  <c:v>4.79</c:v>
                </c:pt>
                <c:pt idx="24">
                  <c:v>6.2</c:v>
                </c:pt>
                <c:pt idx="25">
                  <c:v>2.68</c:v>
                </c:pt>
                <c:pt idx="26">
                  <c:v>8.6999999999999993</c:v>
                </c:pt>
                <c:pt idx="27">
                  <c:v>3.32</c:v>
                </c:pt>
                <c:pt idx="28">
                  <c:v>4.46</c:v>
                </c:pt>
                <c:pt idx="29">
                  <c:v>3.16</c:v>
                </c:pt>
                <c:pt idx="30">
                  <c:v>3.88</c:v>
                </c:pt>
                <c:pt idx="31">
                  <c:v>1.75</c:v>
                </c:pt>
                <c:pt idx="32">
                  <c:v>1.77</c:v>
                </c:pt>
                <c:pt idx="33">
                  <c:v>7.36</c:v>
                </c:pt>
                <c:pt idx="34">
                  <c:v>9.1999999999999993</c:v>
                </c:pt>
                <c:pt idx="35">
                  <c:v>1.76</c:v>
                </c:pt>
                <c:pt idx="36">
                  <c:v>6.41</c:v>
                </c:pt>
                <c:pt idx="37">
                  <c:v>9.0399999999999991</c:v>
                </c:pt>
                <c:pt idx="38">
                  <c:v>8.84</c:v>
                </c:pt>
                <c:pt idx="39">
                  <c:v>6.01</c:v>
                </c:pt>
                <c:pt idx="40">
                  <c:v>6.11</c:v>
                </c:pt>
                <c:pt idx="41">
                  <c:v>7.73</c:v>
                </c:pt>
                <c:pt idx="42">
                  <c:v>7.86</c:v>
                </c:pt>
                <c:pt idx="43">
                  <c:v>6.44</c:v>
                </c:pt>
                <c:pt idx="44">
                  <c:v>1.91</c:v>
                </c:pt>
                <c:pt idx="45">
                  <c:v>4.4800000000000004</c:v>
                </c:pt>
                <c:pt idx="46">
                  <c:v>9.1199999999999992</c:v>
                </c:pt>
                <c:pt idx="47">
                  <c:v>8.11</c:v>
                </c:pt>
                <c:pt idx="48">
                  <c:v>2.37</c:v>
                </c:pt>
                <c:pt idx="49">
                  <c:v>4.9800000000000004</c:v>
                </c:pt>
              </c:numCache>
            </c:numRef>
          </c:yVal>
          <c:smooth val="0"/>
          <c:extLst>
            <c:ext xmlns:c16="http://schemas.microsoft.com/office/drawing/2014/chart" uri="{C3380CC4-5D6E-409C-BE32-E72D297353CC}">
              <c16:uniqueId val="{00000000-8953-4DDC-A332-38E2A49AEFDE}"/>
            </c:ext>
          </c:extLst>
        </c:ser>
        <c:ser>
          <c:idx val="7"/>
          <c:order val="1"/>
          <c:tx>
            <c:v>Instagram</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cap="rnd">
                <a:solidFill>
                  <a:schemeClr val="accent5">
                    <a:lumMod val="80000"/>
                    <a:lumOff val="20000"/>
                  </a:schemeClr>
                </a:solidFill>
                <a:round/>
              </a:ln>
              <a:effectLst>
                <a:outerShdw blurRad="57150" dist="19050" dir="5400000" algn="ctr" rotWithShape="0">
                  <a:srgbClr val="000000">
                    <a:alpha val="63000"/>
                  </a:srgbClr>
                </a:outerShdw>
              </a:effectLst>
            </c:spPr>
          </c:marker>
          <c:trendline>
            <c:spPr>
              <a:ln w="19050" cap="rnd">
                <a:solidFill>
                  <a:schemeClr val="accent5">
                    <a:lumMod val="80000"/>
                    <a:lumOff val="20000"/>
                  </a:schemeClr>
                </a:solidFill>
                <a:prstDash val="sysDash"/>
              </a:ln>
              <a:effectLst/>
            </c:spPr>
            <c:trendlineType val="linear"/>
            <c:dispRSqr val="1"/>
            <c:dispEq val="1"/>
            <c:trendlineLbl>
              <c:layout>
                <c:manualLayout>
                  <c:x val="0.1522934187665437"/>
                  <c:y val="8.750410621527284E-4"/>
                </c:manualLayout>
              </c:layout>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b="1" baseline="0">
                        <a:solidFill>
                          <a:srgbClr val="00B050"/>
                        </a:solidFill>
                      </a:rPr>
                      <a:t>Instagram</a:t>
                    </a:r>
                    <a:br>
                      <a:rPr lang="en-US" baseline="0"/>
                    </a:br>
                    <a:r>
                      <a:rPr lang="en-US" baseline="0"/>
                      <a:t>y = 9E-06x + 5.5142</a:t>
                    </a:r>
                    <a:br>
                      <a:rPr lang="en-US" baseline="0"/>
                    </a:br>
                    <a:r>
                      <a:rPr lang="en-US" baseline="0"/>
                      <a:t>R² = 0.0028</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Dump!$D$5:$D$54</c:f>
              <c:numCache>
                <c:formatCode>General</c:formatCode>
                <c:ptCount val="50"/>
                <c:pt idx="0">
                  <c:v>20042</c:v>
                </c:pt>
                <c:pt idx="1">
                  <c:v>33381</c:v>
                </c:pt>
                <c:pt idx="2">
                  <c:v>14216</c:v>
                </c:pt>
                <c:pt idx="3">
                  <c:v>18693</c:v>
                </c:pt>
                <c:pt idx="4">
                  <c:v>2293</c:v>
                </c:pt>
                <c:pt idx="5">
                  <c:v>2436</c:v>
                </c:pt>
                <c:pt idx="6">
                  <c:v>23140</c:v>
                </c:pt>
                <c:pt idx="7">
                  <c:v>49077</c:v>
                </c:pt>
                <c:pt idx="8">
                  <c:v>9480</c:v>
                </c:pt>
                <c:pt idx="9">
                  <c:v>6296</c:v>
                </c:pt>
                <c:pt idx="10">
                  <c:v>33799</c:v>
                </c:pt>
                <c:pt idx="11">
                  <c:v>49772</c:v>
                </c:pt>
                <c:pt idx="12">
                  <c:v>44097</c:v>
                </c:pt>
                <c:pt idx="13">
                  <c:v>3314</c:v>
                </c:pt>
                <c:pt idx="14">
                  <c:v>10825</c:v>
                </c:pt>
                <c:pt idx="15">
                  <c:v>25525</c:v>
                </c:pt>
                <c:pt idx="16">
                  <c:v>43122</c:v>
                </c:pt>
                <c:pt idx="17">
                  <c:v>14548</c:v>
                </c:pt>
                <c:pt idx="18">
                  <c:v>37132</c:v>
                </c:pt>
                <c:pt idx="19">
                  <c:v>4313</c:v>
                </c:pt>
                <c:pt idx="20">
                  <c:v>4683</c:v>
                </c:pt>
                <c:pt idx="21">
                  <c:v>20692</c:v>
                </c:pt>
                <c:pt idx="22">
                  <c:v>22724</c:v>
                </c:pt>
                <c:pt idx="23">
                  <c:v>36103</c:v>
                </c:pt>
                <c:pt idx="24">
                  <c:v>1810</c:v>
                </c:pt>
                <c:pt idx="25">
                  <c:v>29533</c:v>
                </c:pt>
                <c:pt idx="26">
                  <c:v>47812</c:v>
                </c:pt>
                <c:pt idx="27">
                  <c:v>36484</c:v>
                </c:pt>
                <c:pt idx="28">
                  <c:v>13116</c:v>
                </c:pt>
                <c:pt idx="29">
                  <c:v>32478</c:v>
                </c:pt>
                <c:pt idx="30">
                  <c:v>36397</c:v>
                </c:pt>
                <c:pt idx="31">
                  <c:v>41215</c:v>
                </c:pt>
                <c:pt idx="32">
                  <c:v>30575</c:v>
                </c:pt>
                <c:pt idx="33">
                  <c:v>1083</c:v>
                </c:pt>
                <c:pt idx="34">
                  <c:v>21939</c:v>
                </c:pt>
                <c:pt idx="35">
                  <c:v>26663</c:v>
                </c:pt>
                <c:pt idx="36">
                  <c:v>37829</c:v>
                </c:pt>
                <c:pt idx="37">
                  <c:v>24913</c:v>
                </c:pt>
                <c:pt idx="38">
                  <c:v>35501</c:v>
                </c:pt>
                <c:pt idx="39">
                  <c:v>47101</c:v>
                </c:pt>
                <c:pt idx="40">
                  <c:v>49303</c:v>
                </c:pt>
                <c:pt idx="41">
                  <c:v>15353</c:v>
                </c:pt>
                <c:pt idx="42">
                  <c:v>17328</c:v>
                </c:pt>
                <c:pt idx="43">
                  <c:v>10740</c:v>
                </c:pt>
                <c:pt idx="44">
                  <c:v>22728</c:v>
                </c:pt>
                <c:pt idx="45">
                  <c:v>9566</c:v>
                </c:pt>
                <c:pt idx="46">
                  <c:v>18050</c:v>
                </c:pt>
                <c:pt idx="47">
                  <c:v>11329</c:v>
                </c:pt>
                <c:pt idx="48">
                  <c:v>9920</c:v>
                </c:pt>
                <c:pt idx="49">
                  <c:v>5904</c:v>
                </c:pt>
              </c:numCache>
            </c:numRef>
          </c:xVal>
          <c:yVal>
            <c:numRef>
              <c:f>Dump!$E$5:$E$54</c:f>
              <c:numCache>
                <c:formatCode>General</c:formatCode>
                <c:ptCount val="50"/>
                <c:pt idx="0">
                  <c:v>1.82</c:v>
                </c:pt>
                <c:pt idx="1">
                  <c:v>6.09</c:v>
                </c:pt>
                <c:pt idx="2">
                  <c:v>5.69</c:v>
                </c:pt>
                <c:pt idx="3">
                  <c:v>6.8</c:v>
                </c:pt>
                <c:pt idx="4">
                  <c:v>6.73</c:v>
                </c:pt>
                <c:pt idx="5">
                  <c:v>3.19</c:v>
                </c:pt>
                <c:pt idx="6">
                  <c:v>6.27</c:v>
                </c:pt>
                <c:pt idx="7">
                  <c:v>1.53</c:v>
                </c:pt>
                <c:pt idx="8">
                  <c:v>7.74</c:v>
                </c:pt>
                <c:pt idx="9">
                  <c:v>7.23</c:v>
                </c:pt>
                <c:pt idx="10">
                  <c:v>8.6199999999999992</c:v>
                </c:pt>
                <c:pt idx="11">
                  <c:v>4.34</c:v>
                </c:pt>
                <c:pt idx="12">
                  <c:v>2.86</c:v>
                </c:pt>
                <c:pt idx="13">
                  <c:v>4.6100000000000003</c:v>
                </c:pt>
                <c:pt idx="14">
                  <c:v>3.89</c:v>
                </c:pt>
                <c:pt idx="15">
                  <c:v>9.23</c:v>
                </c:pt>
                <c:pt idx="16">
                  <c:v>9.24</c:v>
                </c:pt>
                <c:pt idx="17">
                  <c:v>3.3</c:v>
                </c:pt>
                <c:pt idx="18">
                  <c:v>5.3</c:v>
                </c:pt>
                <c:pt idx="19">
                  <c:v>1.76</c:v>
                </c:pt>
                <c:pt idx="20">
                  <c:v>8.44</c:v>
                </c:pt>
                <c:pt idx="21">
                  <c:v>3.32</c:v>
                </c:pt>
                <c:pt idx="22">
                  <c:v>1.81</c:v>
                </c:pt>
                <c:pt idx="23">
                  <c:v>3.79</c:v>
                </c:pt>
                <c:pt idx="24">
                  <c:v>5.17</c:v>
                </c:pt>
                <c:pt idx="25">
                  <c:v>9.41</c:v>
                </c:pt>
                <c:pt idx="26">
                  <c:v>4.66</c:v>
                </c:pt>
                <c:pt idx="27">
                  <c:v>6.85</c:v>
                </c:pt>
                <c:pt idx="28">
                  <c:v>5.85</c:v>
                </c:pt>
                <c:pt idx="29">
                  <c:v>6.5</c:v>
                </c:pt>
                <c:pt idx="30">
                  <c:v>8.9</c:v>
                </c:pt>
                <c:pt idx="31">
                  <c:v>6.25</c:v>
                </c:pt>
                <c:pt idx="32">
                  <c:v>3.3</c:v>
                </c:pt>
                <c:pt idx="33">
                  <c:v>2.36</c:v>
                </c:pt>
                <c:pt idx="34">
                  <c:v>3.4</c:v>
                </c:pt>
                <c:pt idx="35">
                  <c:v>9.09</c:v>
                </c:pt>
                <c:pt idx="36">
                  <c:v>7.16</c:v>
                </c:pt>
                <c:pt idx="37">
                  <c:v>5.71</c:v>
                </c:pt>
                <c:pt idx="38">
                  <c:v>3.25</c:v>
                </c:pt>
                <c:pt idx="39">
                  <c:v>6.23</c:v>
                </c:pt>
                <c:pt idx="40">
                  <c:v>7.83</c:v>
                </c:pt>
                <c:pt idx="41">
                  <c:v>4.05</c:v>
                </c:pt>
                <c:pt idx="42">
                  <c:v>7.88</c:v>
                </c:pt>
                <c:pt idx="43">
                  <c:v>3.74</c:v>
                </c:pt>
                <c:pt idx="44">
                  <c:v>8.74</c:v>
                </c:pt>
                <c:pt idx="45">
                  <c:v>9.36</c:v>
                </c:pt>
                <c:pt idx="46">
                  <c:v>6.92</c:v>
                </c:pt>
                <c:pt idx="47">
                  <c:v>2.46</c:v>
                </c:pt>
                <c:pt idx="48">
                  <c:v>9.0500000000000007</c:v>
                </c:pt>
                <c:pt idx="49">
                  <c:v>8.06</c:v>
                </c:pt>
              </c:numCache>
            </c:numRef>
          </c:yVal>
          <c:smooth val="0"/>
          <c:extLst>
            <c:ext xmlns:c16="http://schemas.microsoft.com/office/drawing/2014/chart" uri="{C3380CC4-5D6E-409C-BE32-E72D297353CC}">
              <c16:uniqueId val="{00000001-8953-4DDC-A332-38E2A49AEFDE}"/>
            </c:ext>
          </c:extLst>
        </c:ser>
        <c:ser>
          <c:idx val="8"/>
          <c:order val="2"/>
          <c:tx>
            <c:v>Twitter</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cap="rnd">
                <a:solidFill>
                  <a:schemeClr val="accent4">
                    <a:lumMod val="80000"/>
                    <a:lumOff val="20000"/>
                  </a:schemeClr>
                </a:solidFill>
                <a:round/>
              </a:ln>
              <a:effectLst>
                <a:outerShdw blurRad="57150" dist="19050" dir="5400000" algn="ctr" rotWithShape="0">
                  <a:srgbClr val="000000">
                    <a:alpha val="63000"/>
                  </a:srgbClr>
                </a:outerShdw>
              </a:effectLst>
            </c:spPr>
          </c:marker>
          <c:trendline>
            <c:spPr>
              <a:ln w="19050" cap="rnd">
                <a:solidFill>
                  <a:schemeClr val="accent4">
                    <a:lumMod val="80000"/>
                    <a:lumOff val="20000"/>
                  </a:schemeClr>
                </a:solidFill>
                <a:prstDash val="sysDash"/>
              </a:ln>
              <a:effectLst/>
            </c:spPr>
            <c:trendlineType val="linear"/>
            <c:dispRSqr val="1"/>
            <c:dispEq val="1"/>
            <c:trendlineLbl>
              <c:layout>
                <c:manualLayout>
                  <c:x val="0.17220676545927718"/>
                  <c:y val="0.17767791110900311"/>
                </c:manualLayout>
              </c:layout>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b="1" baseline="0">
                        <a:solidFill>
                          <a:srgbClr val="00B050"/>
                        </a:solidFill>
                      </a:rPr>
                      <a:t>Twitter</a:t>
                    </a:r>
                    <a:br>
                      <a:rPr lang="en-US" baseline="0"/>
                    </a:br>
                    <a:r>
                      <a:rPr lang="en-US" baseline="0"/>
                      <a:t>y = 2E-05x + 5.1537</a:t>
                    </a:r>
                    <a:br>
                      <a:rPr lang="en-US" baseline="0"/>
                    </a:br>
                    <a:r>
                      <a:rPr lang="en-US" baseline="0"/>
                      <a:t>R² = 0.0189</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Dump!$F$5:$F$54</c:f>
              <c:numCache>
                <c:formatCode>General</c:formatCode>
                <c:ptCount val="50"/>
                <c:pt idx="0">
                  <c:v>4007</c:v>
                </c:pt>
                <c:pt idx="1">
                  <c:v>16149</c:v>
                </c:pt>
                <c:pt idx="2">
                  <c:v>32500</c:v>
                </c:pt>
                <c:pt idx="3">
                  <c:v>8471</c:v>
                </c:pt>
                <c:pt idx="4">
                  <c:v>11035</c:v>
                </c:pt>
                <c:pt idx="5">
                  <c:v>42964</c:v>
                </c:pt>
                <c:pt idx="6">
                  <c:v>11805</c:v>
                </c:pt>
                <c:pt idx="7">
                  <c:v>21061</c:v>
                </c:pt>
                <c:pt idx="8">
                  <c:v>14068</c:v>
                </c:pt>
                <c:pt idx="9">
                  <c:v>14722</c:v>
                </c:pt>
                <c:pt idx="10">
                  <c:v>10002</c:v>
                </c:pt>
                <c:pt idx="11">
                  <c:v>8718</c:v>
                </c:pt>
                <c:pt idx="12">
                  <c:v>37636</c:v>
                </c:pt>
                <c:pt idx="13">
                  <c:v>42832</c:v>
                </c:pt>
                <c:pt idx="14">
                  <c:v>48270</c:v>
                </c:pt>
                <c:pt idx="15">
                  <c:v>19119</c:v>
                </c:pt>
                <c:pt idx="16">
                  <c:v>45380</c:v>
                </c:pt>
                <c:pt idx="17">
                  <c:v>12350</c:v>
                </c:pt>
                <c:pt idx="18">
                  <c:v>2798</c:v>
                </c:pt>
                <c:pt idx="19">
                  <c:v>9118</c:v>
                </c:pt>
                <c:pt idx="20">
                  <c:v>35359</c:v>
                </c:pt>
                <c:pt idx="21">
                  <c:v>13316</c:v>
                </c:pt>
                <c:pt idx="22">
                  <c:v>20861</c:v>
                </c:pt>
                <c:pt idx="23">
                  <c:v>3455</c:v>
                </c:pt>
                <c:pt idx="24">
                  <c:v>39530</c:v>
                </c:pt>
                <c:pt idx="25">
                  <c:v>5391</c:v>
                </c:pt>
                <c:pt idx="26">
                  <c:v>30428</c:v>
                </c:pt>
                <c:pt idx="27">
                  <c:v>36095</c:v>
                </c:pt>
                <c:pt idx="28">
                  <c:v>15827</c:v>
                </c:pt>
                <c:pt idx="29">
                  <c:v>21208</c:v>
                </c:pt>
                <c:pt idx="30">
                  <c:v>33174</c:v>
                </c:pt>
                <c:pt idx="31">
                  <c:v>4509</c:v>
                </c:pt>
                <c:pt idx="32">
                  <c:v>12148</c:v>
                </c:pt>
                <c:pt idx="33">
                  <c:v>24018</c:v>
                </c:pt>
                <c:pt idx="34">
                  <c:v>30270</c:v>
                </c:pt>
                <c:pt idx="35">
                  <c:v>15476</c:v>
                </c:pt>
                <c:pt idx="36">
                  <c:v>25797</c:v>
                </c:pt>
                <c:pt idx="37">
                  <c:v>9942</c:v>
                </c:pt>
                <c:pt idx="38">
                  <c:v>22206</c:v>
                </c:pt>
                <c:pt idx="39">
                  <c:v>33258</c:v>
                </c:pt>
                <c:pt idx="40">
                  <c:v>12384</c:v>
                </c:pt>
                <c:pt idx="41">
                  <c:v>39272</c:v>
                </c:pt>
                <c:pt idx="42">
                  <c:v>32763</c:v>
                </c:pt>
                <c:pt idx="43">
                  <c:v>32393</c:v>
                </c:pt>
                <c:pt idx="44">
                  <c:v>2932</c:v>
                </c:pt>
                <c:pt idx="45">
                  <c:v>5914</c:v>
                </c:pt>
                <c:pt idx="46">
                  <c:v>31280</c:v>
                </c:pt>
                <c:pt idx="47">
                  <c:v>22482</c:v>
                </c:pt>
                <c:pt idx="48">
                  <c:v>8912</c:v>
                </c:pt>
                <c:pt idx="49">
                  <c:v>26752</c:v>
                </c:pt>
              </c:numCache>
            </c:numRef>
          </c:xVal>
          <c:yVal>
            <c:numRef>
              <c:f>Dump!$G$5:$G$54</c:f>
              <c:numCache>
                <c:formatCode>General</c:formatCode>
                <c:ptCount val="50"/>
                <c:pt idx="0">
                  <c:v>7.57</c:v>
                </c:pt>
                <c:pt idx="1">
                  <c:v>3.55</c:v>
                </c:pt>
                <c:pt idx="2">
                  <c:v>3.16</c:v>
                </c:pt>
                <c:pt idx="3">
                  <c:v>2.44</c:v>
                </c:pt>
                <c:pt idx="4">
                  <c:v>5.3</c:v>
                </c:pt>
                <c:pt idx="5">
                  <c:v>4.5</c:v>
                </c:pt>
                <c:pt idx="6">
                  <c:v>7.5</c:v>
                </c:pt>
                <c:pt idx="7">
                  <c:v>5.53</c:v>
                </c:pt>
                <c:pt idx="8">
                  <c:v>1.8</c:v>
                </c:pt>
                <c:pt idx="9">
                  <c:v>5.12</c:v>
                </c:pt>
                <c:pt idx="10">
                  <c:v>8.33</c:v>
                </c:pt>
                <c:pt idx="11">
                  <c:v>3.85</c:v>
                </c:pt>
                <c:pt idx="12">
                  <c:v>7.3</c:v>
                </c:pt>
                <c:pt idx="13">
                  <c:v>6.99</c:v>
                </c:pt>
                <c:pt idx="14">
                  <c:v>6.95</c:v>
                </c:pt>
                <c:pt idx="15">
                  <c:v>2.0099999999999998</c:v>
                </c:pt>
                <c:pt idx="16">
                  <c:v>5.23</c:v>
                </c:pt>
                <c:pt idx="17">
                  <c:v>2.56</c:v>
                </c:pt>
                <c:pt idx="18">
                  <c:v>2.2200000000000002</c:v>
                </c:pt>
                <c:pt idx="19">
                  <c:v>4.68</c:v>
                </c:pt>
                <c:pt idx="20">
                  <c:v>7.74</c:v>
                </c:pt>
                <c:pt idx="21">
                  <c:v>6.66</c:v>
                </c:pt>
                <c:pt idx="22">
                  <c:v>4.2</c:v>
                </c:pt>
                <c:pt idx="23">
                  <c:v>6.37</c:v>
                </c:pt>
                <c:pt idx="24">
                  <c:v>2.69</c:v>
                </c:pt>
                <c:pt idx="25">
                  <c:v>7.32</c:v>
                </c:pt>
                <c:pt idx="26">
                  <c:v>2.46</c:v>
                </c:pt>
                <c:pt idx="27">
                  <c:v>5.68</c:v>
                </c:pt>
                <c:pt idx="28">
                  <c:v>5.22</c:v>
                </c:pt>
                <c:pt idx="29">
                  <c:v>8.25</c:v>
                </c:pt>
                <c:pt idx="30">
                  <c:v>5.9</c:v>
                </c:pt>
                <c:pt idx="31">
                  <c:v>4.97</c:v>
                </c:pt>
                <c:pt idx="32">
                  <c:v>2.09</c:v>
                </c:pt>
                <c:pt idx="33">
                  <c:v>8.5500000000000007</c:v>
                </c:pt>
                <c:pt idx="34">
                  <c:v>8.59</c:v>
                </c:pt>
                <c:pt idx="35">
                  <c:v>9.24</c:v>
                </c:pt>
                <c:pt idx="36">
                  <c:v>8.02</c:v>
                </c:pt>
                <c:pt idx="37">
                  <c:v>3.91</c:v>
                </c:pt>
                <c:pt idx="38">
                  <c:v>7.24</c:v>
                </c:pt>
                <c:pt idx="39">
                  <c:v>8.5500000000000007</c:v>
                </c:pt>
                <c:pt idx="40">
                  <c:v>9.43</c:v>
                </c:pt>
                <c:pt idx="41">
                  <c:v>4.3600000000000003</c:v>
                </c:pt>
                <c:pt idx="42">
                  <c:v>5.34</c:v>
                </c:pt>
                <c:pt idx="43">
                  <c:v>8.56</c:v>
                </c:pt>
                <c:pt idx="44">
                  <c:v>4.66</c:v>
                </c:pt>
                <c:pt idx="45">
                  <c:v>6.19</c:v>
                </c:pt>
                <c:pt idx="46">
                  <c:v>3.5</c:v>
                </c:pt>
                <c:pt idx="47">
                  <c:v>8.19</c:v>
                </c:pt>
                <c:pt idx="48">
                  <c:v>4.01</c:v>
                </c:pt>
                <c:pt idx="49">
                  <c:v>8.31</c:v>
                </c:pt>
              </c:numCache>
            </c:numRef>
          </c:yVal>
          <c:smooth val="0"/>
          <c:extLst>
            <c:ext xmlns:c16="http://schemas.microsoft.com/office/drawing/2014/chart" uri="{C3380CC4-5D6E-409C-BE32-E72D297353CC}">
              <c16:uniqueId val="{00000002-8953-4DDC-A332-38E2A49AEFDE}"/>
            </c:ext>
          </c:extLst>
        </c:ser>
        <c:ser>
          <c:idx val="9"/>
          <c:order val="3"/>
          <c:tx>
            <c:v>Youtube</c:v>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cap="rnd">
                <a:solidFill>
                  <a:schemeClr val="accent6">
                    <a:lumMod val="80000"/>
                  </a:schemeClr>
                </a:solidFill>
                <a:round/>
              </a:ln>
              <a:effectLst>
                <a:outerShdw blurRad="57150" dist="19050" dir="5400000" algn="ctr" rotWithShape="0">
                  <a:srgbClr val="000000">
                    <a:alpha val="63000"/>
                  </a:srgbClr>
                </a:outerShdw>
              </a:effectLst>
            </c:spPr>
          </c:marker>
          <c:trendline>
            <c:spPr>
              <a:ln w="19050" cap="rnd">
                <a:solidFill>
                  <a:schemeClr val="accent6">
                    <a:lumMod val="80000"/>
                  </a:schemeClr>
                </a:solidFill>
                <a:prstDash val="sysDash"/>
              </a:ln>
              <a:effectLst/>
            </c:spPr>
            <c:trendlineType val="linear"/>
            <c:dispRSqr val="1"/>
            <c:dispEq val="1"/>
            <c:trendlineLbl>
              <c:layout>
                <c:manualLayout>
                  <c:x val="0.15133363857778998"/>
                  <c:y val="0.3287045088439533"/>
                </c:manualLayout>
              </c:layout>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b="1" baseline="0">
                        <a:solidFill>
                          <a:srgbClr val="00B050"/>
                        </a:solidFill>
                      </a:rPr>
                      <a:t>Youtube</a:t>
                    </a:r>
                    <a:br>
                      <a:rPr lang="en-US" baseline="0"/>
                    </a:br>
                    <a:r>
                      <a:rPr lang="en-US" baseline="0"/>
                      <a:t>y = 3E-05x + 4.8455</a:t>
                    </a:r>
                    <a:br>
                      <a:rPr lang="en-US" baseline="0"/>
                    </a:br>
                    <a:r>
                      <a:rPr lang="en-US" baseline="0"/>
                      <a:t>R² = 0.0273</a:t>
                    </a:r>
                    <a:endParaRPr lang="en-US"/>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Dump!$H$5:$H$54</c:f>
              <c:numCache>
                <c:formatCode>General</c:formatCode>
                <c:ptCount val="50"/>
                <c:pt idx="0">
                  <c:v>12174</c:v>
                </c:pt>
                <c:pt idx="1">
                  <c:v>7541</c:v>
                </c:pt>
                <c:pt idx="2">
                  <c:v>6832</c:v>
                </c:pt>
                <c:pt idx="3">
                  <c:v>14090</c:v>
                </c:pt>
                <c:pt idx="4">
                  <c:v>20733</c:v>
                </c:pt>
                <c:pt idx="5">
                  <c:v>39923</c:v>
                </c:pt>
                <c:pt idx="6">
                  <c:v>15969</c:v>
                </c:pt>
                <c:pt idx="7">
                  <c:v>20059</c:v>
                </c:pt>
                <c:pt idx="8">
                  <c:v>35801</c:v>
                </c:pt>
                <c:pt idx="9">
                  <c:v>11383</c:v>
                </c:pt>
                <c:pt idx="10">
                  <c:v>30987</c:v>
                </c:pt>
                <c:pt idx="11">
                  <c:v>39031</c:v>
                </c:pt>
                <c:pt idx="12">
                  <c:v>22996</c:v>
                </c:pt>
                <c:pt idx="13">
                  <c:v>24494</c:v>
                </c:pt>
                <c:pt idx="14">
                  <c:v>18001</c:v>
                </c:pt>
                <c:pt idx="15">
                  <c:v>43999</c:v>
                </c:pt>
                <c:pt idx="16">
                  <c:v>7705</c:v>
                </c:pt>
                <c:pt idx="17">
                  <c:v>40868</c:v>
                </c:pt>
                <c:pt idx="18">
                  <c:v>15045</c:v>
                </c:pt>
                <c:pt idx="19">
                  <c:v>39931</c:v>
                </c:pt>
                <c:pt idx="20">
                  <c:v>14154</c:v>
                </c:pt>
                <c:pt idx="21">
                  <c:v>49558</c:v>
                </c:pt>
                <c:pt idx="22">
                  <c:v>46625</c:v>
                </c:pt>
                <c:pt idx="23">
                  <c:v>40888</c:v>
                </c:pt>
                <c:pt idx="24">
                  <c:v>37876</c:v>
                </c:pt>
                <c:pt idx="25">
                  <c:v>22373</c:v>
                </c:pt>
                <c:pt idx="26">
                  <c:v>9269</c:v>
                </c:pt>
                <c:pt idx="27">
                  <c:v>16443</c:v>
                </c:pt>
                <c:pt idx="28">
                  <c:v>46643</c:v>
                </c:pt>
                <c:pt idx="29">
                  <c:v>44321</c:v>
                </c:pt>
                <c:pt idx="30">
                  <c:v>6742</c:v>
                </c:pt>
                <c:pt idx="31">
                  <c:v>27822</c:v>
                </c:pt>
                <c:pt idx="32">
                  <c:v>36851</c:v>
                </c:pt>
                <c:pt idx="33">
                  <c:v>38883</c:v>
                </c:pt>
                <c:pt idx="34">
                  <c:v>5442</c:v>
                </c:pt>
                <c:pt idx="35">
                  <c:v>10217</c:v>
                </c:pt>
                <c:pt idx="36">
                  <c:v>12646</c:v>
                </c:pt>
                <c:pt idx="37">
                  <c:v>32929</c:v>
                </c:pt>
                <c:pt idx="38">
                  <c:v>10283</c:v>
                </c:pt>
                <c:pt idx="39">
                  <c:v>6915</c:v>
                </c:pt>
                <c:pt idx="40">
                  <c:v>49372</c:v>
                </c:pt>
                <c:pt idx="41">
                  <c:v>16804</c:v>
                </c:pt>
                <c:pt idx="42">
                  <c:v>26452</c:v>
                </c:pt>
                <c:pt idx="43">
                  <c:v>28474</c:v>
                </c:pt>
                <c:pt idx="44">
                  <c:v>15071</c:v>
                </c:pt>
                <c:pt idx="45">
                  <c:v>30060</c:v>
                </c:pt>
                <c:pt idx="46">
                  <c:v>1783</c:v>
                </c:pt>
                <c:pt idx="47">
                  <c:v>24313</c:v>
                </c:pt>
                <c:pt idx="48">
                  <c:v>21205</c:v>
                </c:pt>
                <c:pt idx="49">
                  <c:v>30671</c:v>
                </c:pt>
              </c:numCache>
            </c:numRef>
          </c:xVal>
          <c:yVal>
            <c:numRef>
              <c:f>Dump!$I$5:$I$54</c:f>
              <c:numCache>
                <c:formatCode>General</c:formatCode>
                <c:ptCount val="50"/>
                <c:pt idx="0">
                  <c:v>6.81</c:v>
                </c:pt>
                <c:pt idx="1">
                  <c:v>5.21</c:v>
                </c:pt>
                <c:pt idx="2">
                  <c:v>1.6</c:v>
                </c:pt>
                <c:pt idx="3">
                  <c:v>3.09</c:v>
                </c:pt>
                <c:pt idx="4">
                  <c:v>6.54</c:v>
                </c:pt>
                <c:pt idx="5">
                  <c:v>6.49</c:v>
                </c:pt>
                <c:pt idx="6">
                  <c:v>4.7300000000000004</c:v>
                </c:pt>
                <c:pt idx="7">
                  <c:v>1.87</c:v>
                </c:pt>
                <c:pt idx="8">
                  <c:v>8.64</c:v>
                </c:pt>
                <c:pt idx="9">
                  <c:v>6.11</c:v>
                </c:pt>
                <c:pt idx="10">
                  <c:v>9.4</c:v>
                </c:pt>
                <c:pt idx="11">
                  <c:v>6.58</c:v>
                </c:pt>
                <c:pt idx="12">
                  <c:v>9.08</c:v>
                </c:pt>
                <c:pt idx="13">
                  <c:v>9.0299999999999994</c:v>
                </c:pt>
                <c:pt idx="14">
                  <c:v>9.48</c:v>
                </c:pt>
                <c:pt idx="15">
                  <c:v>3.72</c:v>
                </c:pt>
                <c:pt idx="16">
                  <c:v>4.68</c:v>
                </c:pt>
                <c:pt idx="17">
                  <c:v>3.29</c:v>
                </c:pt>
                <c:pt idx="18">
                  <c:v>8.33</c:v>
                </c:pt>
                <c:pt idx="19">
                  <c:v>4.4800000000000004</c:v>
                </c:pt>
                <c:pt idx="20">
                  <c:v>2.89</c:v>
                </c:pt>
                <c:pt idx="21">
                  <c:v>8.09</c:v>
                </c:pt>
                <c:pt idx="22">
                  <c:v>5.43</c:v>
                </c:pt>
                <c:pt idx="23">
                  <c:v>2.65</c:v>
                </c:pt>
                <c:pt idx="24">
                  <c:v>8.9</c:v>
                </c:pt>
                <c:pt idx="25">
                  <c:v>4.68</c:v>
                </c:pt>
                <c:pt idx="26">
                  <c:v>7.97</c:v>
                </c:pt>
                <c:pt idx="27">
                  <c:v>6.08</c:v>
                </c:pt>
                <c:pt idx="28">
                  <c:v>1.99</c:v>
                </c:pt>
                <c:pt idx="29">
                  <c:v>5.41</c:v>
                </c:pt>
                <c:pt idx="30">
                  <c:v>1.53</c:v>
                </c:pt>
                <c:pt idx="31">
                  <c:v>9.3000000000000007</c:v>
                </c:pt>
                <c:pt idx="32">
                  <c:v>7.36</c:v>
                </c:pt>
                <c:pt idx="33">
                  <c:v>8.1300000000000008</c:v>
                </c:pt>
                <c:pt idx="34">
                  <c:v>3.5</c:v>
                </c:pt>
                <c:pt idx="35">
                  <c:v>8.99</c:v>
                </c:pt>
                <c:pt idx="36">
                  <c:v>3.86</c:v>
                </c:pt>
                <c:pt idx="37">
                  <c:v>7.83</c:v>
                </c:pt>
                <c:pt idx="38">
                  <c:v>6.19</c:v>
                </c:pt>
                <c:pt idx="39">
                  <c:v>5.42</c:v>
                </c:pt>
                <c:pt idx="40">
                  <c:v>4.04</c:v>
                </c:pt>
                <c:pt idx="41">
                  <c:v>3.48</c:v>
                </c:pt>
                <c:pt idx="42">
                  <c:v>5.52</c:v>
                </c:pt>
                <c:pt idx="43">
                  <c:v>4.5599999999999996</c:v>
                </c:pt>
                <c:pt idx="44">
                  <c:v>2.88</c:v>
                </c:pt>
                <c:pt idx="45">
                  <c:v>8.7200000000000006</c:v>
                </c:pt>
                <c:pt idx="46">
                  <c:v>2.62</c:v>
                </c:pt>
                <c:pt idx="47">
                  <c:v>3.49</c:v>
                </c:pt>
                <c:pt idx="48">
                  <c:v>3.16</c:v>
                </c:pt>
                <c:pt idx="49">
                  <c:v>4.1100000000000003</c:v>
                </c:pt>
              </c:numCache>
            </c:numRef>
          </c:yVal>
          <c:smooth val="0"/>
          <c:extLst>
            <c:ext xmlns:c16="http://schemas.microsoft.com/office/drawing/2014/chart" uri="{C3380CC4-5D6E-409C-BE32-E72D297353CC}">
              <c16:uniqueId val="{00000003-8953-4DDC-A332-38E2A49AEFDE}"/>
            </c:ext>
          </c:extLst>
        </c:ser>
        <c:dLbls>
          <c:showLegendKey val="0"/>
          <c:showVal val="0"/>
          <c:showCatName val="0"/>
          <c:showSerName val="0"/>
          <c:showPercent val="0"/>
          <c:showBubbleSize val="0"/>
        </c:dLbls>
        <c:axId val="409904352"/>
        <c:axId val="409902912"/>
      </c:scatterChart>
      <c:valAx>
        <c:axId val="40990435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Ad Spend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9902912"/>
        <c:crosses val="autoZero"/>
        <c:crossBetween val="midCat"/>
      </c:valAx>
      <c:valAx>
        <c:axId val="4099029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Engagement Rate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99043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Facebook</c:v>
          </c:tx>
          <c:spPr>
            <a:ln w="25400" cap="rnd">
              <a:noFill/>
              <a:round/>
            </a:ln>
            <a:effectLst/>
          </c:spPr>
          <c:marker>
            <c:symbol val="circle"/>
            <c:size val="5"/>
            <c:spPr>
              <a:solidFill>
                <a:schemeClr val="accent1"/>
              </a:solidFill>
              <a:ln w="9525">
                <a:solidFill>
                  <a:schemeClr val="accent1"/>
                </a:solidFill>
              </a:ln>
              <a:effectLst/>
            </c:spPr>
          </c:marker>
          <c:xVal>
            <c:numRef>
              <c:f>Dump!$B$5:$B$54</c:f>
              <c:numCache>
                <c:formatCode>General</c:formatCode>
                <c:ptCount val="50"/>
                <c:pt idx="0">
                  <c:v>49400</c:v>
                </c:pt>
                <c:pt idx="1">
                  <c:v>48419</c:v>
                </c:pt>
                <c:pt idx="2">
                  <c:v>3582</c:v>
                </c:pt>
                <c:pt idx="3">
                  <c:v>7875</c:v>
                </c:pt>
                <c:pt idx="4">
                  <c:v>25920</c:v>
                </c:pt>
                <c:pt idx="5">
                  <c:v>47603</c:v>
                </c:pt>
                <c:pt idx="6">
                  <c:v>23461</c:v>
                </c:pt>
                <c:pt idx="7">
                  <c:v>21453</c:v>
                </c:pt>
                <c:pt idx="8">
                  <c:v>29116</c:v>
                </c:pt>
                <c:pt idx="9">
                  <c:v>21539</c:v>
                </c:pt>
                <c:pt idx="10">
                  <c:v>20553</c:v>
                </c:pt>
                <c:pt idx="11">
                  <c:v>22713</c:v>
                </c:pt>
                <c:pt idx="12">
                  <c:v>31853</c:v>
                </c:pt>
                <c:pt idx="13">
                  <c:v>23489</c:v>
                </c:pt>
                <c:pt idx="14">
                  <c:v>40323</c:v>
                </c:pt>
                <c:pt idx="15">
                  <c:v>20560</c:v>
                </c:pt>
                <c:pt idx="16">
                  <c:v>23853</c:v>
                </c:pt>
                <c:pt idx="17">
                  <c:v>45708</c:v>
                </c:pt>
                <c:pt idx="18">
                  <c:v>17951</c:v>
                </c:pt>
                <c:pt idx="19">
                  <c:v>25140</c:v>
                </c:pt>
                <c:pt idx="20">
                  <c:v>47502</c:v>
                </c:pt>
                <c:pt idx="21">
                  <c:v>18656</c:v>
                </c:pt>
                <c:pt idx="22">
                  <c:v>18601</c:v>
                </c:pt>
                <c:pt idx="23">
                  <c:v>26103</c:v>
                </c:pt>
                <c:pt idx="24">
                  <c:v>28498</c:v>
                </c:pt>
                <c:pt idx="25">
                  <c:v>39997</c:v>
                </c:pt>
                <c:pt idx="26">
                  <c:v>38452</c:v>
                </c:pt>
                <c:pt idx="27">
                  <c:v>4996</c:v>
                </c:pt>
                <c:pt idx="28">
                  <c:v>30214</c:v>
                </c:pt>
                <c:pt idx="29">
                  <c:v>42824</c:v>
                </c:pt>
                <c:pt idx="30">
                  <c:v>7285</c:v>
                </c:pt>
                <c:pt idx="31">
                  <c:v>43836</c:v>
                </c:pt>
                <c:pt idx="32">
                  <c:v>2315</c:v>
                </c:pt>
                <c:pt idx="33">
                  <c:v>11901</c:v>
                </c:pt>
                <c:pt idx="34">
                  <c:v>47462</c:v>
                </c:pt>
                <c:pt idx="35">
                  <c:v>40478</c:v>
                </c:pt>
                <c:pt idx="36">
                  <c:v>24384</c:v>
                </c:pt>
                <c:pt idx="37">
                  <c:v>26925</c:v>
                </c:pt>
                <c:pt idx="38">
                  <c:v>14203</c:v>
                </c:pt>
                <c:pt idx="39">
                  <c:v>37903</c:v>
                </c:pt>
                <c:pt idx="40">
                  <c:v>26455</c:v>
                </c:pt>
                <c:pt idx="41">
                  <c:v>4839</c:v>
                </c:pt>
                <c:pt idx="42">
                  <c:v>26067</c:v>
                </c:pt>
                <c:pt idx="43">
                  <c:v>43420</c:v>
                </c:pt>
                <c:pt idx="44">
                  <c:v>38610</c:v>
                </c:pt>
                <c:pt idx="45">
                  <c:v>42307</c:v>
                </c:pt>
                <c:pt idx="46">
                  <c:v>30635</c:v>
                </c:pt>
                <c:pt idx="47">
                  <c:v>46670</c:v>
                </c:pt>
                <c:pt idx="48">
                  <c:v>7924</c:v>
                </c:pt>
                <c:pt idx="49">
                  <c:v>9566</c:v>
                </c:pt>
              </c:numCache>
            </c:numRef>
          </c:xVal>
          <c:yVal>
            <c:numRef>
              <c:f>Dump!$C$5:$C$54</c:f>
              <c:numCache>
                <c:formatCode>General</c:formatCode>
                <c:ptCount val="50"/>
                <c:pt idx="0">
                  <c:v>4</c:v>
                </c:pt>
                <c:pt idx="1">
                  <c:v>5.59</c:v>
                </c:pt>
                <c:pt idx="2">
                  <c:v>3.86</c:v>
                </c:pt>
                <c:pt idx="3">
                  <c:v>2.6</c:v>
                </c:pt>
                <c:pt idx="4">
                  <c:v>4.83</c:v>
                </c:pt>
                <c:pt idx="5">
                  <c:v>2.4900000000000002</c:v>
                </c:pt>
                <c:pt idx="6">
                  <c:v>9.4600000000000009</c:v>
                </c:pt>
                <c:pt idx="7">
                  <c:v>8.52</c:v>
                </c:pt>
                <c:pt idx="8">
                  <c:v>4.9400000000000004</c:v>
                </c:pt>
                <c:pt idx="9">
                  <c:v>9.39</c:v>
                </c:pt>
                <c:pt idx="10">
                  <c:v>4.55</c:v>
                </c:pt>
                <c:pt idx="11">
                  <c:v>7.8</c:v>
                </c:pt>
                <c:pt idx="12">
                  <c:v>3.85</c:v>
                </c:pt>
                <c:pt idx="13">
                  <c:v>8.0299999999999994</c:v>
                </c:pt>
                <c:pt idx="14">
                  <c:v>8.6999999999999993</c:v>
                </c:pt>
                <c:pt idx="15">
                  <c:v>6.37</c:v>
                </c:pt>
                <c:pt idx="16">
                  <c:v>4.51</c:v>
                </c:pt>
                <c:pt idx="17">
                  <c:v>5.61</c:v>
                </c:pt>
                <c:pt idx="18">
                  <c:v>8.1999999999999993</c:v>
                </c:pt>
                <c:pt idx="19">
                  <c:v>3.09</c:v>
                </c:pt>
                <c:pt idx="20">
                  <c:v>2.02</c:v>
                </c:pt>
                <c:pt idx="21">
                  <c:v>8.11</c:v>
                </c:pt>
                <c:pt idx="22">
                  <c:v>7.47</c:v>
                </c:pt>
                <c:pt idx="23">
                  <c:v>4.79</c:v>
                </c:pt>
                <c:pt idx="24">
                  <c:v>6.2</c:v>
                </c:pt>
                <c:pt idx="25">
                  <c:v>2.68</c:v>
                </c:pt>
                <c:pt idx="26">
                  <c:v>8.6999999999999993</c:v>
                </c:pt>
                <c:pt idx="27">
                  <c:v>3.32</c:v>
                </c:pt>
                <c:pt idx="28">
                  <c:v>4.46</c:v>
                </c:pt>
                <c:pt idx="29">
                  <c:v>3.16</c:v>
                </c:pt>
                <c:pt idx="30">
                  <c:v>3.88</c:v>
                </c:pt>
                <c:pt idx="31">
                  <c:v>1.75</c:v>
                </c:pt>
                <c:pt idx="32">
                  <c:v>1.77</c:v>
                </c:pt>
                <c:pt idx="33">
                  <c:v>7.36</c:v>
                </c:pt>
                <c:pt idx="34">
                  <c:v>9.1999999999999993</c:v>
                </c:pt>
                <c:pt idx="35">
                  <c:v>1.76</c:v>
                </c:pt>
                <c:pt idx="36">
                  <c:v>6.41</c:v>
                </c:pt>
                <c:pt idx="37">
                  <c:v>9.0399999999999991</c:v>
                </c:pt>
                <c:pt idx="38">
                  <c:v>8.84</c:v>
                </c:pt>
                <c:pt idx="39">
                  <c:v>6.01</c:v>
                </c:pt>
                <c:pt idx="40">
                  <c:v>6.11</c:v>
                </c:pt>
                <c:pt idx="41">
                  <c:v>7.73</c:v>
                </c:pt>
                <c:pt idx="42">
                  <c:v>7.86</c:v>
                </c:pt>
                <c:pt idx="43">
                  <c:v>6.44</c:v>
                </c:pt>
                <c:pt idx="44">
                  <c:v>1.91</c:v>
                </c:pt>
                <c:pt idx="45">
                  <c:v>4.4800000000000004</c:v>
                </c:pt>
                <c:pt idx="46">
                  <c:v>9.1199999999999992</c:v>
                </c:pt>
                <c:pt idx="47">
                  <c:v>8.11</c:v>
                </c:pt>
                <c:pt idx="48">
                  <c:v>2.37</c:v>
                </c:pt>
                <c:pt idx="49">
                  <c:v>4.9800000000000004</c:v>
                </c:pt>
              </c:numCache>
            </c:numRef>
          </c:yVal>
          <c:smooth val="0"/>
          <c:extLst>
            <c:ext xmlns:c16="http://schemas.microsoft.com/office/drawing/2014/chart" uri="{C3380CC4-5D6E-409C-BE32-E72D297353CC}">
              <c16:uniqueId val="{00000000-BE80-4251-A4A5-5ECEBBCFBB59}"/>
            </c:ext>
          </c:extLst>
        </c:ser>
        <c:dLbls>
          <c:showLegendKey val="0"/>
          <c:showVal val="0"/>
          <c:showCatName val="0"/>
          <c:showSerName val="0"/>
          <c:showPercent val="0"/>
          <c:showBubbleSize val="0"/>
        </c:dLbls>
        <c:axId val="409908672"/>
        <c:axId val="409906272"/>
      </c:scatterChart>
      <c:valAx>
        <c:axId val="40990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06272"/>
        <c:crosses val="autoZero"/>
        <c:crossBetween val="midCat"/>
      </c:valAx>
      <c:valAx>
        <c:axId val="40990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086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Instagram</c:v>
          </c:tx>
          <c:spPr>
            <a:ln w="25400" cap="rnd">
              <a:noFill/>
              <a:round/>
            </a:ln>
            <a:effectLst/>
          </c:spPr>
          <c:marker>
            <c:symbol val="circle"/>
            <c:size val="5"/>
            <c:spPr>
              <a:solidFill>
                <a:schemeClr val="accent2"/>
              </a:solidFill>
              <a:ln w="9525">
                <a:solidFill>
                  <a:schemeClr val="accent2"/>
                </a:solidFill>
              </a:ln>
              <a:effectLst/>
            </c:spPr>
          </c:marker>
          <c:xVal>
            <c:numRef>
              <c:f>Dump!$D$5:$D$54</c:f>
              <c:numCache>
                <c:formatCode>General</c:formatCode>
                <c:ptCount val="50"/>
                <c:pt idx="0">
                  <c:v>20042</c:v>
                </c:pt>
                <c:pt idx="1">
                  <c:v>33381</c:v>
                </c:pt>
                <c:pt idx="2">
                  <c:v>14216</c:v>
                </c:pt>
                <c:pt idx="3">
                  <c:v>18693</c:v>
                </c:pt>
                <c:pt idx="4">
                  <c:v>2293</c:v>
                </c:pt>
                <c:pt idx="5">
                  <c:v>2436</c:v>
                </c:pt>
                <c:pt idx="6">
                  <c:v>23140</c:v>
                </c:pt>
                <c:pt idx="7">
                  <c:v>49077</c:v>
                </c:pt>
                <c:pt idx="8">
                  <c:v>9480</c:v>
                </c:pt>
                <c:pt idx="9">
                  <c:v>6296</c:v>
                </c:pt>
                <c:pt idx="10">
                  <c:v>33799</c:v>
                </c:pt>
                <c:pt idx="11">
                  <c:v>49772</c:v>
                </c:pt>
                <c:pt idx="12">
                  <c:v>44097</c:v>
                </c:pt>
                <c:pt idx="13">
                  <c:v>3314</c:v>
                </c:pt>
                <c:pt idx="14">
                  <c:v>10825</c:v>
                </c:pt>
                <c:pt idx="15">
                  <c:v>25525</c:v>
                </c:pt>
                <c:pt idx="16">
                  <c:v>43122</c:v>
                </c:pt>
                <c:pt idx="17">
                  <c:v>14548</c:v>
                </c:pt>
                <c:pt idx="18">
                  <c:v>37132</c:v>
                </c:pt>
                <c:pt idx="19">
                  <c:v>4313</c:v>
                </c:pt>
                <c:pt idx="20">
                  <c:v>4683</c:v>
                </c:pt>
                <c:pt idx="21">
                  <c:v>20692</c:v>
                </c:pt>
                <c:pt idx="22">
                  <c:v>22724</c:v>
                </c:pt>
                <c:pt idx="23">
                  <c:v>36103</c:v>
                </c:pt>
                <c:pt idx="24">
                  <c:v>1810</c:v>
                </c:pt>
                <c:pt idx="25">
                  <c:v>29533</c:v>
                </c:pt>
                <c:pt idx="26">
                  <c:v>47812</c:v>
                </c:pt>
                <c:pt idx="27">
                  <c:v>36484</c:v>
                </c:pt>
                <c:pt idx="28">
                  <c:v>13116</c:v>
                </c:pt>
                <c:pt idx="29">
                  <c:v>32478</c:v>
                </c:pt>
                <c:pt idx="30">
                  <c:v>36397</c:v>
                </c:pt>
                <c:pt idx="31">
                  <c:v>41215</c:v>
                </c:pt>
                <c:pt idx="32">
                  <c:v>30575</c:v>
                </c:pt>
                <c:pt idx="33">
                  <c:v>1083</c:v>
                </c:pt>
                <c:pt idx="34">
                  <c:v>21939</c:v>
                </c:pt>
                <c:pt idx="35">
                  <c:v>26663</c:v>
                </c:pt>
                <c:pt idx="36">
                  <c:v>37829</c:v>
                </c:pt>
                <c:pt idx="37">
                  <c:v>24913</c:v>
                </c:pt>
                <c:pt idx="38">
                  <c:v>35501</c:v>
                </c:pt>
                <c:pt idx="39">
                  <c:v>47101</c:v>
                </c:pt>
                <c:pt idx="40">
                  <c:v>49303</c:v>
                </c:pt>
                <c:pt idx="41">
                  <c:v>15353</c:v>
                </c:pt>
                <c:pt idx="42">
                  <c:v>17328</c:v>
                </c:pt>
                <c:pt idx="43">
                  <c:v>10740</c:v>
                </c:pt>
                <c:pt idx="44">
                  <c:v>22728</c:v>
                </c:pt>
                <c:pt idx="45">
                  <c:v>9566</c:v>
                </c:pt>
                <c:pt idx="46">
                  <c:v>18050</c:v>
                </c:pt>
                <c:pt idx="47">
                  <c:v>11329</c:v>
                </c:pt>
                <c:pt idx="48">
                  <c:v>9920</c:v>
                </c:pt>
                <c:pt idx="49">
                  <c:v>5904</c:v>
                </c:pt>
              </c:numCache>
            </c:numRef>
          </c:xVal>
          <c:yVal>
            <c:numRef>
              <c:f>Dump!$E$5:$E$54</c:f>
              <c:numCache>
                <c:formatCode>General</c:formatCode>
                <c:ptCount val="50"/>
                <c:pt idx="0">
                  <c:v>1.82</c:v>
                </c:pt>
                <c:pt idx="1">
                  <c:v>6.09</c:v>
                </c:pt>
                <c:pt idx="2">
                  <c:v>5.69</c:v>
                </c:pt>
                <c:pt idx="3">
                  <c:v>6.8</c:v>
                </c:pt>
                <c:pt idx="4">
                  <c:v>6.73</c:v>
                </c:pt>
                <c:pt idx="5">
                  <c:v>3.19</c:v>
                </c:pt>
                <c:pt idx="6">
                  <c:v>6.27</c:v>
                </c:pt>
                <c:pt idx="7">
                  <c:v>1.53</c:v>
                </c:pt>
                <c:pt idx="8">
                  <c:v>7.74</c:v>
                </c:pt>
                <c:pt idx="9">
                  <c:v>7.23</c:v>
                </c:pt>
                <c:pt idx="10">
                  <c:v>8.6199999999999992</c:v>
                </c:pt>
                <c:pt idx="11">
                  <c:v>4.34</c:v>
                </c:pt>
                <c:pt idx="12">
                  <c:v>2.86</c:v>
                </c:pt>
                <c:pt idx="13">
                  <c:v>4.6100000000000003</c:v>
                </c:pt>
                <c:pt idx="14">
                  <c:v>3.89</c:v>
                </c:pt>
                <c:pt idx="15">
                  <c:v>9.23</c:v>
                </c:pt>
                <c:pt idx="16">
                  <c:v>9.24</c:v>
                </c:pt>
                <c:pt idx="17">
                  <c:v>3.3</c:v>
                </c:pt>
                <c:pt idx="18">
                  <c:v>5.3</c:v>
                </c:pt>
                <c:pt idx="19">
                  <c:v>1.76</c:v>
                </c:pt>
                <c:pt idx="20">
                  <c:v>8.44</c:v>
                </c:pt>
                <c:pt idx="21">
                  <c:v>3.32</c:v>
                </c:pt>
                <c:pt idx="22">
                  <c:v>1.81</c:v>
                </c:pt>
                <c:pt idx="23">
                  <c:v>3.79</c:v>
                </c:pt>
                <c:pt idx="24">
                  <c:v>5.17</c:v>
                </c:pt>
                <c:pt idx="25">
                  <c:v>9.41</c:v>
                </c:pt>
                <c:pt idx="26">
                  <c:v>4.66</c:v>
                </c:pt>
                <c:pt idx="27">
                  <c:v>6.85</c:v>
                </c:pt>
                <c:pt idx="28">
                  <c:v>5.85</c:v>
                </c:pt>
                <c:pt idx="29">
                  <c:v>6.5</c:v>
                </c:pt>
                <c:pt idx="30">
                  <c:v>8.9</c:v>
                </c:pt>
                <c:pt idx="31">
                  <c:v>6.25</c:v>
                </c:pt>
                <c:pt idx="32">
                  <c:v>3.3</c:v>
                </c:pt>
                <c:pt idx="33">
                  <c:v>2.36</c:v>
                </c:pt>
                <c:pt idx="34">
                  <c:v>3.4</c:v>
                </c:pt>
                <c:pt idx="35">
                  <c:v>9.09</c:v>
                </c:pt>
                <c:pt idx="36">
                  <c:v>7.16</c:v>
                </c:pt>
                <c:pt idx="37">
                  <c:v>5.71</c:v>
                </c:pt>
                <c:pt idx="38">
                  <c:v>3.25</c:v>
                </c:pt>
                <c:pt idx="39">
                  <c:v>6.23</c:v>
                </c:pt>
                <c:pt idx="40">
                  <c:v>7.83</c:v>
                </c:pt>
                <c:pt idx="41">
                  <c:v>4.05</c:v>
                </c:pt>
                <c:pt idx="42">
                  <c:v>7.88</c:v>
                </c:pt>
                <c:pt idx="43">
                  <c:v>3.74</c:v>
                </c:pt>
                <c:pt idx="44">
                  <c:v>8.74</c:v>
                </c:pt>
                <c:pt idx="45">
                  <c:v>9.36</c:v>
                </c:pt>
                <c:pt idx="46">
                  <c:v>6.92</c:v>
                </c:pt>
                <c:pt idx="47">
                  <c:v>2.46</c:v>
                </c:pt>
                <c:pt idx="48">
                  <c:v>9.0500000000000007</c:v>
                </c:pt>
                <c:pt idx="49">
                  <c:v>8.06</c:v>
                </c:pt>
              </c:numCache>
            </c:numRef>
          </c:yVal>
          <c:smooth val="0"/>
          <c:extLst>
            <c:ext xmlns:c16="http://schemas.microsoft.com/office/drawing/2014/chart" uri="{C3380CC4-5D6E-409C-BE32-E72D297353CC}">
              <c16:uniqueId val="{00000000-E73D-4A18-8C70-285F2BAAC9A3}"/>
            </c:ext>
          </c:extLst>
        </c:ser>
        <c:dLbls>
          <c:showLegendKey val="0"/>
          <c:showVal val="0"/>
          <c:showCatName val="0"/>
          <c:showSerName val="0"/>
          <c:showPercent val="0"/>
          <c:showBubbleSize val="0"/>
        </c:dLbls>
        <c:axId val="409908672"/>
        <c:axId val="409906272"/>
      </c:scatterChart>
      <c:valAx>
        <c:axId val="40990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06272"/>
        <c:crosses val="autoZero"/>
        <c:crossBetween val="midCat"/>
      </c:valAx>
      <c:valAx>
        <c:axId val="40990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086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Twitter</c:v>
          </c:tx>
          <c:spPr>
            <a:ln w="25400" cap="rnd">
              <a:noFill/>
              <a:round/>
            </a:ln>
            <a:effectLst/>
          </c:spPr>
          <c:marker>
            <c:symbol val="circle"/>
            <c:size val="5"/>
            <c:spPr>
              <a:solidFill>
                <a:schemeClr val="accent2"/>
              </a:solidFill>
              <a:ln w="9525">
                <a:solidFill>
                  <a:schemeClr val="accent2"/>
                </a:solidFill>
              </a:ln>
              <a:effectLst/>
            </c:spPr>
          </c:marker>
          <c:xVal>
            <c:numRef>
              <c:f>Dump!$F$5:$F$54</c:f>
              <c:numCache>
                <c:formatCode>General</c:formatCode>
                <c:ptCount val="50"/>
                <c:pt idx="0">
                  <c:v>4007</c:v>
                </c:pt>
                <c:pt idx="1">
                  <c:v>16149</c:v>
                </c:pt>
                <c:pt idx="2">
                  <c:v>32500</c:v>
                </c:pt>
                <c:pt idx="3">
                  <c:v>8471</c:v>
                </c:pt>
                <c:pt idx="4">
                  <c:v>11035</c:v>
                </c:pt>
                <c:pt idx="5">
                  <c:v>42964</c:v>
                </c:pt>
                <c:pt idx="6">
                  <c:v>11805</c:v>
                </c:pt>
                <c:pt idx="7">
                  <c:v>21061</c:v>
                </c:pt>
                <c:pt idx="8">
                  <c:v>14068</c:v>
                </c:pt>
                <c:pt idx="9">
                  <c:v>14722</c:v>
                </c:pt>
                <c:pt idx="10">
                  <c:v>10002</c:v>
                </c:pt>
                <c:pt idx="11">
                  <c:v>8718</c:v>
                </c:pt>
                <c:pt idx="12">
                  <c:v>37636</c:v>
                </c:pt>
                <c:pt idx="13">
                  <c:v>42832</c:v>
                </c:pt>
                <c:pt idx="14">
                  <c:v>48270</c:v>
                </c:pt>
                <c:pt idx="15">
                  <c:v>19119</c:v>
                </c:pt>
                <c:pt idx="16">
                  <c:v>45380</c:v>
                </c:pt>
                <c:pt idx="17">
                  <c:v>12350</c:v>
                </c:pt>
                <c:pt idx="18">
                  <c:v>2798</c:v>
                </c:pt>
                <c:pt idx="19">
                  <c:v>9118</c:v>
                </c:pt>
                <c:pt idx="20">
                  <c:v>35359</c:v>
                </c:pt>
                <c:pt idx="21">
                  <c:v>13316</c:v>
                </c:pt>
                <c:pt idx="22">
                  <c:v>20861</c:v>
                </c:pt>
                <c:pt idx="23">
                  <c:v>3455</c:v>
                </c:pt>
                <c:pt idx="24">
                  <c:v>39530</c:v>
                </c:pt>
                <c:pt idx="25">
                  <c:v>5391</c:v>
                </c:pt>
                <c:pt idx="26">
                  <c:v>30428</c:v>
                </c:pt>
                <c:pt idx="27">
                  <c:v>36095</c:v>
                </c:pt>
                <c:pt idx="28">
                  <c:v>15827</c:v>
                </c:pt>
                <c:pt idx="29">
                  <c:v>21208</c:v>
                </c:pt>
                <c:pt idx="30">
                  <c:v>33174</c:v>
                </c:pt>
                <c:pt idx="31">
                  <c:v>4509</c:v>
                </c:pt>
                <c:pt idx="32">
                  <c:v>12148</c:v>
                </c:pt>
                <c:pt idx="33">
                  <c:v>24018</c:v>
                </c:pt>
                <c:pt idx="34">
                  <c:v>30270</c:v>
                </c:pt>
                <c:pt idx="35">
                  <c:v>15476</c:v>
                </c:pt>
                <c:pt idx="36">
                  <c:v>25797</c:v>
                </c:pt>
                <c:pt idx="37">
                  <c:v>9942</c:v>
                </c:pt>
                <c:pt idx="38">
                  <c:v>22206</c:v>
                </c:pt>
                <c:pt idx="39">
                  <c:v>33258</c:v>
                </c:pt>
                <c:pt idx="40">
                  <c:v>12384</c:v>
                </c:pt>
                <c:pt idx="41">
                  <c:v>39272</c:v>
                </c:pt>
                <c:pt idx="42">
                  <c:v>32763</c:v>
                </c:pt>
                <c:pt idx="43">
                  <c:v>32393</c:v>
                </c:pt>
                <c:pt idx="44">
                  <c:v>2932</c:v>
                </c:pt>
                <c:pt idx="45">
                  <c:v>5914</c:v>
                </c:pt>
                <c:pt idx="46">
                  <c:v>31280</c:v>
                </c:pt>
                <c:pt idx="47">
                  <c:v>22482</c:v>
                </c:pt>
                <c:pt idx="48">
                  <c:v>8912</c:v>
                </c:pt>
                <c:pt idx="49">
                  <c:v>26752</c:v>
                </c:pt>
              </c:numCache>
            </c:numRef>
          </c:xVal>
          <c:yVal>
            <c:numRef>
              <c:f>Dump!$G$5:$G$54</c:f>
              <c:numCache>
                <c:formatCode>General</c:formatCode>
                <c:ptCount val="50"/>
                <c:pt idx="0">
                  <c:v>7.57</c:v>
                </c:pt>
                <c:pt idx="1">
                  <c:v>3.55</c:v>
                </c:pt>
                <c:pt idx="2">
                  <c:v>3.16</c:v>
                </c:pt>
                <c:pt idx="3">
                  <c:v>2.44</c:v>
                </c:pt>
                <c:pt idx="4">
                  <c:v>5.3</c:v>
                </c:pt>
                <c:pt idx="5">
                  <c:v>4.5</c:v>
                </c:pt>
                <c:pt idx="6">
                  <c:v>7.5</c:v>
                </c:pt>
                <c:pt idx="7">
                  <c:v>5.53</c:v>
                </c:pt>
                <c:pt idx="8">
                  <c:v>1.8</c:v>
                </c:pt>
                <c:pt idx="9">
                  <c:v>5.12</c:v>
                </c:pt>
                <c:pt idx="10">
                  <c:v>8.33</c:v>
                </c:pt>
                <c:pt idx="11">
                  <c:v>3.85</c:v>
                </c:pt>
                <c:pt idx="12">
                  <c:v>7.3</c:v>
                </c:pt>
                <c:pt idx="13">
                  <c:v>6.99</c:v>
                </c:pt>
                <c:pt idx="14">
                  <c:v>6.95</c:v>
                </c:pt>
                <c:pt idx="15">
                  <c:v>2.0099999999999998</c:v>
                </c:pt>
                <c:pt idx="16">
                  <c:v>5.23</c:v>
                </c:pt>
                <c:pt idx="17">
                  <c:v>2.56</c:v>
                </c:pt>
                <c:pt idx="18">
                  <c:v>2.2200000000000002</c:v>
                </c:pt>
                <c:pt idx="19">
                  <c:v>4.68</c:v>
                </c:pt>
                <c:pt idx="20">
                  <c:v>7.74</c:v>
                </c:pt>
                <c:pt idx="21">
                  <c:v>6.66</c:v>
                </c:pt>
                <c:pt idx="22">
                  <c:v>4.2</c:v>
                </c:pt>
                <c:pt idx="23">
                  <c:v>6.37</c:v>
                </c:pt>
                <c:pt idx="24">
                  <c:v>2.69</c:v>
                </c:pt>
                <c:pt idx="25">
                  <c:v>7.32</c:v>
                </c:pt>
                <c:pt idx="26">
                  <c:v>2.46</c:v>
                </c:pt>
                <c:pt idx="27">
                  <c:v>5.68</c:v>
                </c:pt>
                <c:pt idx="28">
                  <c:v>5.22</c:v>
                </c:pt>
                <c:pt idx="29">
                  <c:v>8.25</c:v>
                </c:pt>
                <c:pt idx="30">
                  <c:v>5.9</c:v>
                </c:pt>
                <c:pt idx="31">
                  <c:v>4.97</c:v>
                </c:pt>
                <c:pt idx="32">
                  <c:v>2.09</c:v>
                </c:pt>
                <c:pt idx="33">
                  <c:v>8.5500000000000007</c:v>
                </c:pt>
                <c:pt idx="34">
                  <c:v>8.59</c:v>
                </c:pt>
                <c:pt idx="35">
                  <c:v>9.24</c:v>
                </c:pt>
                <c:pt idx="36">
                  <c:v>8.02</c:v>
                </c:pt>
                <c:pt idx="37">
                  <c:v>3.91</c:v>
                </c:pt>
                <c:pt idx="38">
                  <c:v>7.24</c:v>
                </c:pt>
                <c:pt idx="39">
                  <c:v>8.5500000000000007</c:v>
                </c:pt>
                <c:pt idx="40">
                  <c:v>9.43</c:v>
                </c:pt>
                <c:pt idx="41">
                  <c:v>4.3600000000000003</c:v>
                </c:pt>
                <c:pt idx="42">
                  <c:v>5.34</c:v>
                </c:pt>
                <c:pt idx="43">
                  <c:v>8.56</c:v>
                </c:pt>
                <c:pt idx="44">
                  <c:v>4.66</c:v>
                </c:pt>
                <c:pt idx="45">
                  <c:v>6.19</c:v>
                </c:pt>
                <c:pt idx="46">
                  <c:v>3.5</c:v>
                </c:pt>
                <c:pt idx="47">
                  <c:v>8.19</c:v>
                </c:pt>
                <c:pt idx="48">
                  <c:v>4.01</c:v>
                </c:pt>
                <c:pt idx="49">
                  <c:v>8.31</c:v>
                </c:pt>
              </c:numCache>
            </c:numRef>
          </c:yVal>
          <c:smooth val="0"/>
          <c:extLst>
            <c:ext xmlns:c16="http://schemas.microsoft.com/office/drawing/2014/chart" uri="{C3380CC4-5D6E-409C-BE32-E72D297353CC}">
              <c16:uniqueId val="{00000000-6DAF-4CA8-8CD1-D973044995B3}"/>
            </c:ext>
          </c:extLst>
        </c:ser>
        <c:dLbls>
          <c:showLegendKey val="0"/>
          <c:showVal val="0"/>
          <c:showCatName val="0"/>
          <c:showSerName val="0"/>
          <c:showPercent val="0"/>
          <c:showBubbleSize val="0"/>
        </c:dLbls>
        <c:axId val="409908672"/>
        <c:axId val="409906272"/>
      </c:scatterChart>
      <c:valAx>
        <c:axId val="40990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06272"/>
        <c:crosses val="autoZero"/>
        <c:crossBetween val="midCat"/>
      </c:valAx>
      <c:valAx>
        <c:axId val="40990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086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Youtube</c:v>
          </c:tx>
          <c:spPr>
            <a:ln w="25400" cap="rnd">
              <a:noFill/>
              <a:round/>
            </a:ln>
            <a:effectLst/>
          </c:spPr>
          <c:marker>
            <c:symbol val="circle"/>
            <c:size val="5"/>
            <c:spPr>
              <a:solidFill>
                <a:schemeClr val="accent1"/>
              </a:solidFill>
              <a:ln w="9525">
                <a:solidFill>
                  <a:schemeClr val="accent1"/>
                </a:solidFill>
              </a:ln>
              <a:effectLst/>
            </c:spPr>
          </c:marker>
          <c:xVal>
            <c:numRef>
              <c:f>Dump!$H$5:$H$54</c:f>
              <c:numCache>
                <c:formatCode>General</c:formatCode>
                <c:ptCount val="50"/>
                <c:pt idx="0">
                  <c:v>12174</c:v>
                </c:pt>
                <c:pt idx="1">
                  <c:v>7541</c:v>
                </c:pt>
                <c:pt idx="2">
                  <c:v>6832</c:v>
                </c:pt>
                <c:pt idx="3">
                  <c:v>14090</c:v>
                </c:pt>
                <c:pt idx="4">
                  <c:v>20733</c:v>
                </c:pt>
                <c:pt idx="5">
                  <c:v>39923</c:v>
                </c:pt>
                <c:pt idx="6">
                  <c:v>15969</c:v>
                </c:pt>
                <c:pt idx="7">
                  <c:v>20059</c:v>
                </c:pt>
                <c:pt idx="8">
                  <c:v>35801</c:v>
                </c:pt>
                <c:pt idx="9">
                  <c:v>11383</c:v>
                </c:pt>
                <c:pt idx="10">
                  <c:v>30987</c:v>
                </c:pt>
                <c:pt idx="11">
                  <c:v>39031</c:v>
                </c:pt>
                <c:pt idx="12">
                  <c:v>22996</c:v>
                </c:pt>
                <c:pt idx="13">
                  <c:v>24494</c:v>
                </c:pt>
                <c:pt idx="14">
                  <c:v>18001</c:v>
                </c:pt>
                <c:pt idx="15">
                  <c:v>43999</c:v>
                </c:pt>
                <c:pt idx="16">
                  <c:v>7705</c:v>
                </c:pt>
                <c:pt idx="17">
                  <c:v>40868</c:v>
                </c:pt>
                <c:pt idx="18">
                  <c:v>15045</c:v>
                </c:pt>
                <c:pt idx="19">
                  <c:v>39931</c:v>
                </c:pt>
                <c:pt idx="20">
                  <c:v>14154</c:v>
                </c:pt>
                <c:pt idx="21">
                  <c:v>49558</c:v>
                </c:pt>
                <c:pt idx="22">
                  <c:v>46625</c:v>
                </c:pt>
                <c:pt idx="23">
                  <c:v>40888</c:v>
                </c:pt>
                <c:pt idx="24">
                  <c:v>37876</c:v>
                </c:pt>
                <c:pt idx="25">
                  <c:v>22373</c:v>
                </c:pt>
                <c:pt idx="26">
                  <c:v>9269</c:v>
                </c:pt>
                <c:pt idx="27">
                  <c:v>16443</c:v>
                </c:pt>
                <c:pt idx="28">
                  <c:v>46643</c:v>
                </c:pt>
                <c:pt idx="29">
                  <c:v>44321</c:v>
                </c:pt>
                <c:pt idx="30">
                  <c:v>6742</c:v>
                </c:pt>
                <c:pt idx="31">
                  <c:v>27822</c:v>
                </c:pt>
                <c:pt idx="32">
                  <c:v>36851</c:v>
                </c:pt>
                <c:pt idx="33">
                  <c:v>38883</c:v>
                </c:pt>
                <c:pt idx="34">
                  <c:v>5442</c:v>
                </c:pt>
                <c:pt idx="35">
                  <c:v>10217</c:v>
                </c:pt>
                <c:pt idx="36">
                  <c:v>12646</c:v>
                </c:pt>
                <c:pt idx="37">
                  <c:v>32929</c:v>
                </c:pt>
                <c:pt idx="38">
                  <c:v>10283</c:v>
                </c:pt>
                <c:pt idx="39">
                  <c:v>6915</c:v>
                </c:pt>
                <c:pt idx="40">
                  <c:v>49372</c:v>
                </c:pt>
                <c:pt idx="41">
                  <c:v>16804</c:v>
                </c:pt>
                <c:pt idx="42">
                  <c:v>26452</c:v>
                </c:pt>
                <c:pt idx="43">
                  <c:v>28474</c:v>
                </c:pt>
                <c:pt idx="44">
                  <c:v>15071</c:v>
                </c:pt>
                <c:pt idx="45">
                  <c:v>30060</c:v>
                </c:pt>
                <c:pt idx="46">
                  <c:v>1783</c:v>
                </c:pt>
                <c:pt idx="47">
                  <c:v>24313</c:v>
                </c:pt>
                <c:pt idx="48">
                  <c:v>21205</c:v>
                </c:pt>
                <c:pt idx="49">
                  <c:v>30671</c:v>
                </c:pt>
              </c:numCache>
            </c:numRef>
          </c:xVal>
          <c:yVal>
            <c:numRef>
              <c:f>Dump!$I$5:$I$54</c:f>
              <c:numCache>
                <c:formatCode>General</c:formatCode>
                <c:ptCount val="50"/>
                <c:pt idx="0">
                  <c:v>6.81</c:v>
                </c:pt>
                <c:pt idx="1">
                  <c:v>5.21</c:v>
                </c:pt>
                <c:pt idx="2">
                  <c:v>1.6</c:v>
                </c:pt>
                <c:pt idx="3">
                  <c:v>3.09</c:v>
                </c:pt>
                <c:pt idx="4">
                  <c:v>6.54</c:v>
                </c:pt>
                <c:pt idx="5">
                  <c:v>6.49</c:v>
                </c:pt>
                <c:pt idx="6">
                  <c:v>4.7300000000000004</c:v>
                </c:pt>
                <c:pt idx="7">
                  <c:v>1.87</c:v>
                </c:pt>
                <c:pt idx="8">
                  <c:v>8.64</c:v>
                </c:pt>
                <c:pt idx="9">
                  <c:v>6.11</c:v>
                </c:pt>
                <c:pt idx="10">
                  <c:v>9.4</c:v>
                </c:pt>
                <c:pt idx="11">
                  <c:v>6.58</c:v>
                </c:pt>
                <c:pt idx="12">
                  <c:v>9.08</c:v>
                </c:pt>
                <c:pt idx="13">
                  <c:v>9.0299999999999994</c:v>
                </c:pt>
                <c:pt idx="14">
                  <c:v>9.48</c:v>
                </c:pt>
                <c:pt idx="15">
                  <c:v>3.72</c:v>
                </c:pt>
                <c:pt idx="16">
                  <c:v>4.68</c:v>
                </c:pt>
                <c:pt idx="17">
                  <c:v>3.29</c:v>
                </c:pt>
                <c:pt idx="18">
                  <c:v>8.33</c:v>
                </c:pt>
                <c:pt idx="19">
                  <c:v>4.4800000000000004</c:v>
                </c:pt>
                <c:pt idx="20">
                  <c:v>2.89</c:v>
                </c:pt>
                <c:pt idx="21">
                  <c:v>8.09</c:v>
                </c:pt>
                <c:pt idx="22">
                  <c:v>5.43</c:v>
                </c:pt>
                <c:pt idx="23">
                  <c:v>2.65</c:v>
                </c:pt>
                <c:pt idx="24">
                  <c:v>8.9</c:v>
                </c:pt>
                <c:pt idx="25">
                  <c:v>4.68</c:v>
                </c:pt>
                <c:pt idx="26">
                  <c:v>7.97</c:v>
                </c:pt>
                <c:pt idx="27">
                  <c:v>6.08</c:v>
                </c:pt>
                <c:pt idx="28">
                  <c:v>1.99</c:v>
                </c:pt>
                <c:pt idx="29">
                  <c:v>5.41</c:v>
                </c:pt>
                <c:pt idx="30">
                  <c:v>1.53</c:v>
                </c:pt>
                <c:pt idx="31">
                  <c:v>9.3000000000000007</c:v>
                </c:pt>
                <c:pt idx="32">
                  <c:v>7.36</c:v>
                </c:pt>
                <c:pt idx="33">
                  <c:v>8.1300000000000008</c:v>
                </c:pt>
                <c:pt idx="34">
                  <c:v>3.5</c:v>
                </c:pt>
                <c:pt idx="35">
                  <c:v>8.99</c:v>
                </c:pt>
                <c:pt idx="36">
                  <c:v>3.86</c:v>
                </c:pt>
                <c:pt idx="37">
                  <c:v>7.83</c:v>
                </c:pt>
                <c:pt idx="38">
                  <c:v>6.19</c:v>
                </c:pt>
                <c:pt idx="39">
                  <c:v>5.42</c:v>
                </c:pt>
                <c:pt idx="40">
                  <c:v>4.04</c:v>
                </c:pt>
                <c:pt idx="41">
                  <c:v>3.48</c:v>
                </c:pt>
                <c:pt idx="42">
                  <c:v>5.52</c:v>
                </c:pt>
                <c:pt idx="43">
                  <c:v>4.5599999999999996</c:v>
                </c:pt>
                <c:pt idx="44">
                  <c:v>2.88</c:v>
                </c:pt>
                <c:pt idx="45">
                  <c:v>8.7200000000000006</c:v>
                </c:pt>
                <c:pt idx="46">
                  <c:v>2.62</c:v>
                </c:pt>
                <c:pt idx="47">
                  <c:v>3.49</c:v>
                </c:pt>
                <c:pt idx="48">
                  <c:v>3.16</c:v>
                </c:pt>
                <c:pt idx="49">
                  <c:v>4.1100000000000003</c:v>
                </c:pt>
              </c:numCache>
            </c:numRef>
          </c:yVal>
          <c:smooth val="0"/>
          <c:extLst>
            <c:ext xmlns:c16="http://schemas.microsoft.com/office/drawing/2014/chart" uri="{C3380CC4-5D6E-409C-BE32-E72D297353CC}">
              <c16:uniqueId val="{00000000-AD2C-4D28-94D0-8B320FF11465}"/>
            </c:ext>
          </c:extLst>
        </c:ser>
        <c:dLbls>
          <c:showLegendKey val="0"/>
          <c:showVal val="0"/>
          <c:showCatName val="0"/>
          <c:showSerName val="0"/>
          <c:showPercent val="0"/>
          <c:showBubbleSize val="0"/>
        </c:dLbls>
        <c:axId val="409908672"/>
        <c:axId val="409906272"/>
      </c:scatterChart>
      <c:valAx>
        <c:axId val="40990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06272"/>
        <c:crosses val="autoZero"/>
        <c:crossBetween val="midCat"/>
      </c:valAx>
      <c:valAx>
        <c:axId val="40990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9086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[Myntra_Social_Media_Analytics.xlsx]T4_Hashtag &amp; Content Strategy!PivotTable18</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15920810959303E-2"/>
          <c:y val="7.4171931865592997E-2"/>
          <c:w val="0.87858612971339778"/>
          <c:h val="0.71258755349013891"/>
        </c:manualLayout>
      </c:layout>
      <c:barChart>
        <c:barDir val="bar"/>
        <c:grouping val="clustered"/>
        <c:varyColors val="0"/>
        <c:ser>
          <c:idx val="0"/>
          <c:order val="0"/>
          <c:tx>
            <c:strRef>
              <c:f>'T4_Hashtag &amp; Content Strategy'!$C$60</c:f>
              <c:strCache>
                <c:ptCount val="1"/>
                <c:pt idx="0">
                  <c:v>Avg of Engagement Rate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'T4_Hashtag &amp; Content Strategy'!$B$61:$B$89</c:f>
              <c:multiLvlStrCache>
                <c:ptCount val="24"/>
                <c:lvl>
                  <c:pt idx="0">
                    <c:v>Carousel</c:v>
                  </c:pt>
                  <c:pt idx="1">
                    <c:v>Image</c:v>
                  </c:pt>
                  <c:pt idx="2">
                    <c:v>Reel</c:v>
                  </c:pt>
                  <c:pt idx="3">
                    <c:v>Story</c:v>
                  </c:pt>
                  <c:pt idx="4">
                    <c:v>Text</c:v>
                  </c:pt>
                  <c:pt idx="5">
                    <c:v>Video</c:v>
                  </c:pt>
                  <c:pt idx="6">
                    <c:v>Carousel</c:v>
                  </c:pt>
                  <c:pt idx="7">
                    <c:v>Image</c:v>
                  </c:pt>
                  <c:pt idx="8">
                    <c:v>Reel</c:v>
                  </c:pt>
                  <c:pt idx="9">
                    <c:v>Story</c:v>
                  </c:pt>
                  <c:pt idx="10">
                    <c:v>Text</c:v>
                  </c:pt>
                  <c:pt idx="11">
                    <c:v>Video</c:v>
                  </c:pt>
                  <c:pt idx="12">
                    <c:v>Carousel</c:v>
                  </c:pt>
                  <c:pt idx="13">
                    <c:v>Image</c:v>
                  </c:pt>
                  <c:pt idx="14">
                    <c:v>Reel</c:v>
                  </c:pt>
                  <c:pt idx="15">
                    <c:v>Story</c:v>
                  </c:pt>
                  <c:pt idx="16">
                    <c:v>Text</c:v>
                  </c:pt>
                  <c:pt idx="17">
                    <c:v>Video</c:v>
                  </c:pt>
                  <c:pt idx="18">
                    <c:v>Carousel</c:v>
                  </c:pt>
                  <c:pt idx="19">
                    <c:v>Image</c:v>
                  </c:pt>
                  <c:pt idx="20">
                    <c:v>Reel</c:v>
                  </c:pt>
                  <c:pt idx="21">
                    <c:v>Story</c:v>
                  </c:pt>
                  <c:pt idx="22">
                    <c:v>Text</c:v>
                  </c:pt>
                  <c:pt idx="23">
                    <c:v>Video</c:v>
                  </c:pt>
                </c:lvl>
                <c:lvl>
                  <c:pt idx="0">
                    <c:v>Facebook</c:v>
                  </c:pt>
                  <c:pt idx="6">
                    <c:v>Instagram</c:v>
                  </c:pt>
                  <c:pt idx="12">
                    <c:v>Twitter</c:v>
                  </c:pt>
                  <c:pt idx="18">
                    <c:v>YouTube</c:v>
                  </c:pt>
                </c:lvl>
              </c:multiLvlStrCache>
            </c:multiLvlStrRef>
          </c:cat>
          <c:val>
            <c:numRef>
              <c:f>'T4_Hashtag &amp; Content Strategy'!$C$61:$C$89</c:f>
              <c:numCache>
                <c:formatCode>0.00%</c:formatCode>
                <c:ptCount val="24"/>
                <c:pt idx="0">
                  <c:v>0.12109666407469055</c:v>
                </c:pt>
                <c:pt idx="1">
                  <c:v>0.12061112766412392</c:v>
                </c:pt>
                <c:pt idx="2">
                  <c:v>0.10701843199404039</c:v>
                </c:pt>
                <c:pt idx="3">
                  <c:v>0.1623105123293774</c:v>
                </c:pt>
                <c:pt idx="4">
                  <c:v>0.10885122171624459</c:v>
                </c:pt>
                <c:pt idx="5">
                  <c:v>0.12547951027961801</c:v>
                </c:pt>
                <c:pt idx="6">
                  <c:v>0.14956648565946415</c:v>
                </c:pt>
                <c:pt idx="7">
                  <c:v>0.14086940708541543</c:v>
                </c:pt>
                <c:pt idx="8">
                  <c:v>0.21692441679102503</c:v>
                </c:pt>
                <c:pt idx="9">
                  <c:v>0.2226051385980625</c:v>
                </c:pt>
                <c:pt idx="10">
                  <c:v>0.1254916397210408</c:v>
                </c:pt>
                <c:pt idx="11">
                  <c:v>0.22639645328555758</c:v>
                </c:pt>
                <c:pt idx="12">
                  <c:v>0.15401289461195852</c:v>
                </c:pt>
                <c:pt idx="13">
                  <c:v>0.14212117244811467</c:v>
                </c:pt>
                <c:pt idx="14">
                  <c:v>0.1353085192973971</c:v>
                </c:pt>
                <c:pt idx="15">
                  <c:v>0.20267997004618613</c:v>
                </c:pt>
                <c:pt idx="16">
                  <c:v>0.12174585283291929</c:v>
                </c:pt>
                <c:pt idx="17">
                  <c:v>0.12181404077116192</c:v>
                </c:pt>
                <c:pt idx="18">
                  <c:v>0.18122624677822843</c:v>
                </c:pt>
                <c:pt idx="19">
                  <c:v>0.15060864723859627</c:v>
                </c:pt>
                <c:pt idx="20">
                  <c:v>0.10884132981723139</c:v>
                </c:pt>
                <c:pt idx="21">
                  <c:v>9.3220206245054213E-2</c:v>
                </c:pt>
                <c:pt idx="22">
                  <c:v>0.11195715294459543</c:v>
                </c:pt>
                <c:pt idx="23">
                  <c:v>0.13561723338044726</c:v>
                </c:pt>
              </c:numCache>
            </c:numRef>
          </c:val>
          <c:extLst>
            <c:ext xmlns:c16="http://schemas.microsoft.com/office/drawing/2014/chart" uri="{C3380CC4-5D6E-409C-BE32-E72D297353CC}">
              <c16:uniqueId val="{00000000-C6CB-4C1D-8B08-4C89458B6715}"/>
            </c:ext>
          </c:extLst>
        </c:ser>
        <c:ser>
          <c:idx val="1"/>
          <c:order val="1"/>
          <c:tx>
            <c:strRef>
              <c:f>'T4_Hashtag &amp; Content Strategy'!$D$60</c:f>
              <c:strCache>
                <c:ptCount val="1"/>
                <c:pt idx="0">
                  <c:v>Avg of CTR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'T4_Hashtag &amp; Content Strategy'!$B$61:$B$89</c:f>
              <c:multiLvlStrCache>
                <c:ptCount val="24"/>
                <c:lvl>
                  <c:pt idx="0">
                    <c:v>Carousel</c:v>
                  </c:pt>
                  <c:pt idx="1">
                    <c:v>Image</c:v>
                  </c:pt>
                  <c:pt idx="2">
                    <c:v>Reel</c:v>
                  </c:pt>
                  <c:pt idx="3">
                    <c:v>Story</c:v>
                  </c:pt>
                  <c:pt idx="4">
                    <c:v>Text</c:v>
                  </c:pt>
                  <c:pt idx="5">
                    <c:v>Video</c:v>
                  </c:pt>
                  <c:pt idx="6">
                    <c:v>Carousel</c:v>
                  </c:pt>
                  <c:pt idx="7">
                    <c:v>Image</c:v>
                  </c:pt>
                  <c:pt idx="8">
                    <c:v>Reel</c:v>
                  </c:pt>
                  <c:pt idx="9">
                    <c:v>Story</c:v>
                  </c:pt>
                  <c:pt idx="10">
                    <c:v>Text</c:v>
                  </c:pt>
                  <c:pt idx="11">
                    <c:v>Video</c:v>
                  </c:pt>
                  <c:pt idx="12">
                    <c:v>Carousel</c:v>
                  </c:pt>
                  <c:pt idx="13">
                    <c:v>Image</c:v>
                  </c:pt>
                  <c:pt idx="14">
                    <c:v>Reel</c:v>
                  </c:pt>
                  <c:pt idx="15">
                    <c:v>Story</c:v>
                  </c:pt>
                  <c:pt idx="16">
                    <c:v>Text</c:v>
                  </c:pt>
                  <c:pt idx="17">
                    <c:v>Video</c:v>
                  </c:pt>
                  <c:pt idx="18">
                    <c:v>Carousel</c:v>
                  </c:pt>
                  <c:pt idx="19">
                    <c:v>Image</c:v>
                  </c:pt>
                  <c:pt idx="20">
                    <c:v>Reel</c:v>
                  </c:pt>
                  <c:pt idx="21">
                    <c:v>Story</c:v>
                  </c:pt>
                  <c:pt idx="22">
                    <c:v>Text</c:v>
                  </c:pt>
                  <c:pt idx="23">
                    <c:v>Video</c:v>
                  </c:pt>
                </c:lvl>
                <c:lvl>
                  <c:pt idx="0">
                    <c:v>Facebook</c:v>
                  </c:pt>
                  <c:pt idx="6">
                    <c:v>Instagram</c:v>
                  </c:pt>
                  <c:pt idx="12">
                    <c:v>Twitter</c:v>
                  </c:pt>
                  <c:pt idx="18">
                    <c:v>YouTube</c:v>
                  </c:pt>
                </c:lvl>
              </c:multiLvlStrCache>
            </c:multiLvlStrRef>
          </c:cat>
          <c:val>
            <c:numRef>
              <c:f>'T4_Hashtag &amp; Content Strategy'!$D$61:$D$89</c:f>
              <c:numCache>
                <c:formatCode>0.00%</c:formatCode>
                <c:ptCount val="24"/>
                <c:pt idx="0">
                  <c:v>5.4534574663806252E-3</c:v>
                </c:pt>
                <c:pt idx="1">
                  <c:v>5.9427967898549299E-3</c:v>
                </c:pt>
                <c:pt idx="2">
                  <c:v>4.3032172751534476E-3</c:v>
                </c:pt>
                <c:pt idx="3">
                  <c:v>7.082604661933725E-3</c:v>
                </c:pt>
                <c:pt idx="4">
                  <c:v>8.0375147233781152E-3</c:v>
                </c:pt>
                <c:pt idx="5">
                  <c:v>4.4809998932023847E-3</c:v>
                </c:pt>
                <c:pt idx="6">
                  <c:v>8.6798551067548101E-3</c:v>
                </c:pt>
                <c:pt idx="7">
                  <c:v>9.8259260703503562E-3</c:v>
                </c:pt>
                <c:pt idx="8">
                  <c:v>2.3543456798544499E-2</c:v>
                </c:pt>
                <c:pt idx="9">
                  <c:v>1.1728658147079601E-2</c:v>
                </c:pt>
                <c:pt idx="10">
                  <c:v>1.6401745890982509E-2</c:v>
                </c:pt>
                <c:pt idx="11">
                  <c:v>2.9610075857608924E-2</c:v>
                </c:pt>
                <c:pt idx="12">
                  <c:v>1.3480533250612469E-2</c:v>
                </c:pt>
                <c:pt idx="13">
                  <c:v>2.9175457551830406E-2</c:v>
                </c:pt>
                <c:pt idx="14">
                  <c:v>1.1967011068437743E-2</c:v>
                </c:pt>
                <c:pt idx="15">
                  <c:v>2.3352845684723882E-2</c:v>
                </c:pt>
                <c:pt idx="16">
                  <c:v>5.7188993846013624E-3</c:v>
                </c:pt>
                <c:pt idx="17">
                  <c:v>8.7305854372705227E-3</c:v>
                </c:pt>
                <c:pt idx="18">
                  <c:v>1.6401382594791635E-2</c:v>
                </c:pt>
                <c:pt idx="19">
                  <c:v>1.7444510442434589E-2</c:v>
                </c:pt>
                <c:pt idx="20">
                  <c:v>6.3179599767117295E-3</c:v>
                </c:pt>
                <c:pt idx="21">
                  <c:v>3.2955513303259609E-3</c:v>
                </c:pt>
                <c:pt idx="22">
                  <c:v>3.5355695407927835E-3</c:v>
                </c:pt>
                <c:pt idx="23">
                  <c:v>4.5593928286796186E-3</c:v>
                </c:pt>
              </c:numCache>
            </c:numRef>
          </c:val>
          <c:extLst>
            <c:ext xmlns:c16="http://schemas.microsoft.com/office/drawing/2014/chart" uri="{C3380CC4-5D6E-409C-BE32-E72D297353CC}">
              <c16:uniqueId val="{00000001-C6CB-4C1D-8B08-4C89458B6715}"/>
            </c:ext>
          </c:extLst>
        </c:ser>
        <c:ser>
          <c:idx val="2"/>
          <c:order val="2"/>
          <c:tx>
            <c:strRef>
              <c:f>'T4_Hashtag &amp; Content Strategy'!$E$60</c:f>
              <c:strCache>
                <c:ptCount val="1"/>
                <c:pt idx="0">
                  <c:v>Avg of Total Interactions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'T4_Hashtag &amp; Content Strategy'!$B$61:$B$89</c:f>
              <c:multiLvlStrCache>
                <c:ptCount val="24"/>
                <c:lvl>
                  <c:pt idx="0">
                    <c:v>Carousel</c:v>
                  </c:pt>
                  <c:pt idx="1">
                    <c:v>Image</c:v>
                  </c:pt>
                  <c:pt idx="2">
                    <c:v>Reel</c:v>
                  </c:pt>
                  <c:pt idx="3">
                    <c:v>Story</c:v>
                  </c:pt>
                  <c:pt idx="4">
                    <c:v>Text</c:v>
                  </c:pt>
                  <c:pt idx="5">
                    <c:v>Video</c:v>
                  </c:pt>
                  <c:pt idx="6">
                    <c:v>Carousel</c:v>
                  </c:pt>
                  <c:pt idx="7">
                    <c:v>Image</c:v>
                  </c:pt>
                  <c:pt idx="8">
                    <c:v>Reel</c:v>
                  </c:pt>
                  <c:pt idx="9">
                    <c:v>Story</c:v>
                  </c:pt>
                  <c:pt idx="10">
                    <c:v>Text</c:v>
                  </c:pt>
                  <c:pt idx="11">
                    <c:v>Video</c:v>
                  </c:pt>
                  <c:pt idx="12">
                    <c:v>Carousel</c:v>
                  </c:pt>
                  <c:pt idx="13">
                    <c:v>Image</c:v>
                  </c:pt>
                  <c:pt idx="14">
                    <c:v>Reel</c:v>
                  </c:pt>
                  <c:pt idx="15">
                    <c:v>Story</c:v>
                  </c:pt>
                  <c:pt idx="16">
                    <c:v>Text</c:v>
                  </c:pt>
                  <c:pt idx="17">
                    <c:v>Video</c:v>
                  </c:pt>
                  <c:pt idx="18">
                    <c:v>Carousel</c:v>
                  </c:pt>
                  <c:pt idx="19">
                    <c:v>Image</c:v>
                  </c:pt>
                  <c:pt idx="20">
                    <c:v>Reel</c:v>
                  </c:pt>
                  <c:pt idx="21">
                    <c:v>Story</c:v>
                  </c:pt>
                  <c:pt idx="22">
                    <c:v>Text</c:v>
                  </c:pt>
                  <c:pt idx="23">
                    <c:v>Video</c:v>
                  </c:pt>
                </c:lvl>
                <c:lvl>
                  <c:pt idx="0">
                    <c:v>Facebook</c:v>
                  </c:pt>
                  <c:pt idx="6">
                    <c:v>Instagram</c:v>
                  </c:pt>
                  <c:pt idx="12">
                    <c:v>Twitter</c:v>
                  </c:pt>
                  <c:pt idx="18">
                    <c:v>YouTube</c:v>
                  </c:pt>
                </c:lvl>
              </c:multiLvlStrCache>
            </c:multiLvlStrRef>
          </c:cat>
          <c:val>
            <c:numRef>
              <c:f>'T4_Hashtag &amp; Content Strategy'!$E$61:$E$89</c:f>
              <c:numCache>
                <c:formatCode>0.00</c:formatCode>
                <c:ptCount val="24"/>
                <c:pt idx="0">
                  <c:v>3935.7619047619046</c:v>
                </c:pt>
                <c:pt idx="1">
                  <c:v>3641.875</c:v>
                </c:pt>
                <c:pt idx="2">
                  <c:v>4105.7647058823532</c:v>
                </c:pt>
                <c:pt idx="3">
                  <c:v>3410.1578947368421</c:v>
                </c:pt>
                <c:pt idx="4">
                  <c:v>3078.75</c:v>
                </c:pt>
                <c:pt idx="5">
                  <c:v>3998.6363636363635</c:v>
                </c:pt>
                <c:pt idx="6">
                  <c:v>3070.5357142857142</c:v>
                </c:pt>
                <c:pt idx="7">
                  <c:v>4287.583333333333</c:v>
                </c:pt>
                <c:pt idx="8">
                  <c:v>3569.4761904761904</c:v>
                </c:pt>
                <c:pt idx="9">
                  <c:v>3347.9166666666665</c:v>
                </c:pt>
                <c:pt idx="10">
                  <c:v>3229.9333333333334</c:v>
                </c:pt>
                <c:pt idx="11">
                  <c:v>2585.1176470588234</c:v>
                </c:pt>
                <c:pt idx="12">
                  <c:v>3484.92</c:v>
                </c:pt>
                <c:pt idx="13">
                  <c:v>2973.5357142857142</c:v>
                </c:pt>
                <c:pt idx="14">
                  <c:v>2908.8235294117649</c:v>
                </c:pt>
                <c:pt idx="15">
                  <c:v>3078.4</c:v>
                </c:pt>
                <c:pt idx="16">
                  <c:v>3581.5882352941176</c:v>
                </c:pt>
                <c:pt idx="17">
                  <c:v>3294.7368421052633</c:v>
                </c:pt>
                <c:pt idx="18">
                  <c:v>3115.3888888888887</c:v>
                </c:pt>
                <c:pt idx="19">
                  <c:v>3302.25</c:v>
                </c:pt>
                <c:pt idx="20">
                  <c:v>3375.8571428571427</c:v>
                </c:pt>
                <c:pt idx="21">
                  <c:v>4600.3846153846152</c:v>
                </c:pt>
                <c:pt idx="22">
                  <c:v>4175.0769230769229</c:v>
                </c:pt>
                <c:pt idx="23">
                  <c:v>3889.9375</c:v>
                </c:pt>
              </c:numCache>
            </c:numRef>
          </c:val>
          <c:extLst>
            <c:ext xmlns:c16="http://schemas.microsoft.com/office/drawing/2014/chart" uri="{C3380CC4-5D6E-409C-BE32-E72D297353CC}">
              <c16:uniqueId val="{00000002-C6CB-4C1D-8B08-4C89458B6715}"/>
            </c:ext>
          </c:extLst>
        </c:ser>
        <c:dLbls>
          <c:dLblPos val="outEnd"/>
          <c:showLegendKey val="0"/>
          <c:showVal val="1"/>
          <c:showCatName val="0"/>
          <c:showSerName val="0"/>
          <c:showPercent val="0"/>
          <c:showBubbleSize val="0"/>
        </c:dLbls>
        <c:gapWidth val="182"/>
        <c:overlap val="-50"/>
        <c:axId val="409910112"/>
        <c:axId val="409909632"/>
      </c:barChart>
      <c:catAx>
        <c:axId val="40991011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9909632"/>
        <c:crosses val="autoZero"/>
        <c:auto val="1"/>
        <c:lblAlgn val="ctr"/>
        <c:lblOffset val="100"/>
        <c:noMultiLvlLbl val="0"/>
      </c:catAx>
      <c:valAx>
        <c:axId val="409909632"/>
        <c:scaling>
          <c:logBase val="10"/>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991011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layout>
        <c:manualLayout>
          <c:xMode val="edge"/>
          <c:yMode val="edge"/>
          <c:x val="6.1488389170583895E-3"/>
          <c:y val="6.0361706293097825E-2"/>
          <c:w val="0.11615503457494464"/>
          <c:h val="0.120912053250962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rgbClr val="000000">
          <a:lumMod val="25000"/>
          <a:lumOff val="75000"/>
          <a:alpha val="77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[Myntra_Social_Media_Analytics.xlsx]T5_Campaign_Effectiveness!PivotTable32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T5_Campaign_Effectiveness!$E$9:$E$10</c:f>
              <c:strCache>
                <c:ptCount val="1"/>
                <c:pt idx="0">
                  <c:v>EndOfSeasonSale</c:v>
                </c:pt>
              </c:strCache>
            </c:strRef>
          </c:tx>
          <c:spPr>
            <a:solidFill>
              <a:schemeClr val="accent1"/>
            </a:solidFill>
            <a:ln>
              <a:noFill/>
            </a:ln>
            <a:effectLst/>
          </c:spPr>
          <c:invertIfNegative val="0"/>
          <c:cat>
            <c:strRef>
              <c:f>T5_Campaign_Effectiveness!$D$11:$D$17</c:f>
              <c:strCache>
                <c:ptCount val="7"/>
                <c:pt idx="0">
                  <c:v>Sum of Likes</c:v>
                </c:pt>
                <c:pt idx="1">
                  <c:v>Average of Likes</c:v>
                </c:pt>
                <c:pt idx="2">
                  <c:v>Sum of Shares</c:v>
                </c:pt>
                <c:pt idx="3">
                  <c:v>Average of Shares</c:v>
                </c:pt>
                <c:pt idx="4">
                  <c:v>Sum of Comments</c:v>
                </c:pt>
                <c:pt idx="5">
                  <c:v>Average of Comments</c:v>
                </c:pt>
                <c:pt idx="6">
                  <c:v>Average of Engagement Rate</c:v>
                </c:pt>
              </c:strCache>
            </c:strRef>
          </c:cat>
          <c:val>
            <c:numRef>
              <c:f>T5_Campaign_Effectiveness!$E$11:$E$17</c:f>
              <c:numCache>
                <c:formatCode>General</c:formatCode>
                <c:ptCount val="7"/>
                <c:pt idx="0">
                  <c:v>329664</c:v>
                </c:pt>
                <c:pt idx="1">
                  <c:v>2702.1639344262294</c:v>
                </c:pt>
                <c:pt idx="2">
                  <c:v>60773</c:v>
                </c:pt>
                <c:pt idx="3">
                  <c:v>498.13934426229508</c:v>
                </c:pt>
                <c:pt idx="4">
                  <c:v>32117</c:v>
                </c:pt>
                <c:pt idx="5">
                  <c:v>263.25409836065575</c:v>
                </c:pt>
                <c:pt idx="6">
                  <c:v>0.15119304111949214</c:v>
                </c:pt>
              </c:numCache>
            </c:numRef>
          </c:val>
          <c:extLst>
            <c:ext xmlns:c16="http://schemas.microsoft.com/office/drawing/2014/chart" uri="{C3380CC4-5D6E-409C-BE32-E72D297353CC}">
              <c16:uniqueId val="{00000000-4C63-4D18-B72E-721741810F17}"/>
            </c:ext>
          </c:extLst>
        </c:ser>
        <c:ser>
          <c:idx val="1"/>
          <c:order val="1"/>
          <c:tx>
            <c:strRef>
              <c:f>T5_Campaign_Effectiveness!$F$9:$F$10</c:f>
              <c:strCache>
                <c:ptCount val="1"/>
                <c:pt idx="0">
                  <c:v>FashionUpgrade</c:v>
                </c:pt>
              </c:strCache>
            </c:strRef>
          </c:tx>
          <c:spPr>
            <a:solidFill>
              <a:schemeClr val="accent2"/>
            </a:solidFill>
            <a:ln>
              <a:noFill/>
            </a:ln>
            <a:effectLst/>
          </c:spPr>
          <c:invertIfNegative val="0"/>
          <c:cat>
            <c:strRef>
              <c:f>T5_Campaign_Effectiveness!$D$11:$D$17</c:f>
              <c:strCache>
                <c:ptCount val="7"/>
                <c:pt idx="0">
                  <c:v>Sum of Likes</c:v>
                </c:pt>
                <c:pt idx="1">
                  <c:v>Average of Likes</c:v>
                </c:pt>
                <c:pt idx="2">
                  <c:v>Sum of Shares</c:v>
                </c:pt>
                <c:pt idx="3">
                  <c:v>Average of Shares</c:v>
                </c:pt>
                <c:pt idx="4">
                  <c:v>Sum of Comments</c:v>
                </c:pt>
                <c:pt idx="5">
                  <c:v>Average of Comments</c:v>
                </c:pt>
                <c:pt idx="6">
                  <c:v>Average of Engagement Rate</c:v>
                </c:pt>
              </c:strCache>
            </c:strRef>
          </c:cat>
          <c:val>
            <c:numRef>
              <c:f>T5_Campaign_Effectiveness!$F$11:$F$17</c:f>
              <c:numCache>
                <c:formatCode>General</c:formatCode>
                <c:ptCount val="7"/>
                <c:pt idx="0">
                  <c:v>323157</c:v>
                </c:pt>
                <c:pt idx="1">
                  <c:v>3020.1588785046729</c:v>
                </c:pt>
                <c:pt idx="2">
                  <c:v>51907</c:v>
                </c:pt>
                <c:pt idx="3">
                  <c:v>485.1121495327103</c:v>
                </c:pt>
                <c:pt idx="4">
                  <c:v>27566</c:v>
                </c:pt>
                <c:pt idx="5">
                  <c:v>257.62616822429908</c:v>
                </c:pt>
                <c:pt idx="6">
                  <c:v>0.13352474777130618</c:v>
                </c:pt>
              </c:numCache>
            </c:numRef>
          </c:val>
          <c:extLst>
            <c:ext xmlns:c16="http://schemas.microsoft.com/office/drawing/2014/chart" uri="{C3380CC4-5D6E-409C-BE32-E72D297353CC}">
              <c16:uniqueId val="{00000001-4C63-4D18-B72E-721741810F17}"/>
            </c:ext>
          </c:extLst>
        </c:ser>
        <c:ser>
          <c:idx val="2"/>
          <c:order val="2"/>
          <c:tx>
            <c:strRef>
              <c:f>T5_Campaign_Effectiveness!$G$9:$G$10</c:f>
              <c:strCache>
                <c:ptCount val="1"/>
                <c:pt idx="0">
                  <c:v>MyntraFestiveEdit</c:v>
                </c:pt>
              </c:strCache>
            </c:strRef>
          </c:tx>
          <c:spPr>
            <a:solidFill>
              <a:schemeClr val="accent3"/>
            </a:solidFill>
            <a:ln>
              <a:noFill/>
            </a:ln>
            <a:effectLst/>
          </c:spPr>
          <c:invertIfNegative val="0"/>
          <c:cat>
            <c:strRef>
              <c:f>T5_Campaign_Effectiveness!$D$11:$D$17</c:f>
              <c:strCache>
                <c:ptCount val="7"/>
                <c:pt idx="0">
                  <c:v>Sum of Likes</c:v>
                </c:pt>
                <c:pt idx="1">
                  <c:v>Average of Likes</c:v>
                </c:pt>
                <c:pt idx="2">
                  <c:v>Sum of Shares</c:v>
                </c:pt>
                <c:pt idx="3">
                  <c:v>Average of Shares</c:v>
                </c:pt>
                <c:pt idx="4">
                  <c:v>Sum of Comments</c:v>
                </c:pt>
                <c:pt idx="5">
                  <c:v>Average of Comments</c:v>
                </c:pt>
                <c:pt idx="6">
                  <c:v>Average of Engagement Rate</c:v>
                </c:pt>
              </c:strCache>
            </c:strRef>
          </c:cat>
          <c:val>
            <c:numRef>
              <c:f>T5_Campaign_Effectiveness!$G$11:$G$17</c:f>
              <c:numCache>
                <c:formatCode>General</c:formatCode>
                <c:ptCount val="7"/>
                <c:pt idx="0">
                  <c:v>317571</c:v>
                </c:pt>
                <c:pt idx="1">
                  <c:v>2624.5537190082646</c:v>
                </c:pt>
                <c:pt idx="2">
                  <c:v>59826</c:v>
                </c:pt>
                <c:pt idx="3">
                  <c:v>494.42975206611573</c:v>
                </c:pt>
                <c:pt idx="4">
                  <c:v>28431</c:v>
                </c:pt>
                <c:pt idx="5">
                  <c:v>234.96694214876032</c:v>
                </c:pt>
                <c:pt idx="6">
                  <c:v>0.13835102108029745</c:v>
                </c:pt>
              </c:numCache>
            </c:numRef>
          </c:val>
          <c:extLst>
            <c:ext xmlns:c16="http://schemas.microsoft.com/office/drawing/2014/chart" uri="{C3380CC4-5D6E-409C-BE32-E72D297353CC}">
              <c16:uniqueId val="{00000002-4C63-4D18-B72E-721741810F17}"/>
            </c:ext>
          </c:extLst>
        </c:ser>
        <c:ser>
          <c:idx val="3"/>
          <c:order val="3"/>
          <c:tx>
            <c:strRef>
              <c:f>T5_Campaign_Effectiveness!$H$9:$H$10</c:f>
              <c:strCache>
                <c:ptCount val="1"/>
                <c:pt idx="0">
                  <c:v>StyleRevolution</c:v>
                </c:pt>
              </c:strCache>
            </c:strRef>
          </c:tx>
          <c:spPr>
            <a:solidFill>
              <a:schemeClr val="accent4"/>
            </a:solidFill>
            <a:ln>
              <a:noFill/>
            </a:ln>
            <a:effectLst/>
          </c:spPr>
          <c:invertIfNegative val="0"/>
          <c:cat>
            <c:strRef>
              <c:f>T5_Campaign_Effectiveness!$D$11:$D$17</c:f>
              <c:strCache>
                <c:ptCount val="7"/>
                <c:pt idx="0">
                  <c:v>Sum of Likes</c:v>
                </c:pt>
                <c:pt idx="1">
                  <c:v>Average of Likes</c:v>
                </c:pt>
                <c:pt idx="2">
                  <c:v>Sum of Shares</c:v>
                </c:pt>
                <c:pt idx="3">
                  <c:v>Average of Shares</c:v>
                </c:pt>
                <c:pt idx="4">
                  <c:v>Sum of Comments</c:v>
                </c:pt>
                <c:pt idx="5">
                  <c:v>Average of Comments</c:v>
                </c:pt>
                <c:pt idx="6">
                  <c:v>Average of Engagement Rate</c:v>
                </c:pt>
              </c:strCache>
            </c:strRef>
          </c:cat>
          <c:val>
            <c:numRef>
              <c:f>T5_Campaign_Effectiveness!$H$11:$H$17</c:f>
              <c:numCache>
                <c:formatCode>General</c:formatCode>
                <c:ptCount val="7"/>
                <c:pt idx="0">
                  <c:v>272307</c:v>
                </c:pt>
                <c:pt idx="1">
                  <c:v>2568.933962264151</c:v>
                </c:pt>
                <c:pt idx="2">
                  <c:v>47051</c:v>
                </c:pt>
                <c:pt idx="3">
                  <c:v>443.87735849056605</c:v>
                </c:pt>
                <c:pt idx="4">
                  <c:v>25228</c:v>
                </c:pt>
                <c:pt idx="5">
                  <c:v>238</c:v>
                </c:pt>
                <c:pt idx="6">
                  <c:v>0.16461543516243601</c:v>
                </c:pt>
              </c:numCache>
            </c:numRef>
          </c:val>
          <c:extLst>
            <c:ext xmlns:c16="http://schemas.microsoft.com/office/drawing/2014/chart" uri="{C3380CC4-5D6E-409C-BE32-E72D297353CC}">
              <c16:uniqueId val="{00000003-4C63-4D18-B72E-721741810F17}"/>
            </c:ext>
          </c:extLst>
        </c:ser>
        <c:dLbls>
          <c:showLegendKey val="0"/>
          <c:showVal val="0"/>
          <c:showCatName val="0"/>
          <c:showSerName val="0"/>
          <c:showPercent val="0"/>
          <c:showBubbleSize val="0"/>
        </c:dLbls>
        <c:gapWidth val="219"/>
        <c:overlap val="-27"/>
        <c:axId val="2024462831"/>
        <c:axId val="2024464271"/>
      </c:barChart>
      <c:catAx>
        <c:axId val="202446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464271"/>
        <c:crosses val="autoZero"/>
        <c:auto val="1"/>
        <c:lblAlgn val="ctr"/>
        <c:lblOffset val="100"/>
        <c:noMultiLvlLbl val="0"/>
      </c:catAx>
      <c:valAx>
        <c:axId val="202446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46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ROI</a:t>
            </a:r>
            <a:r>
              <a:rPr lang="en-US" b="1" baseline="0">
                <a:solidFill>
                  <a:sysClr val="windowText" lastClr="000000"/>
                </a:solidFill>
              </a:rPr>
              <a:t> (ENG VS SPEND)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T5_Campaign_Effectiveness!$C$64:$C$67</c:f>
              <c:strCache>
                <c:ptCount val="4"/>
                <c:pt idx="0">
                  <c:v>EndOfSeasonSale</c:v>
                </c:pt>
                <c:pt idx="1">
                  <c:v>FashionUpgrade</c:v>
                </c:pt>
                <c:pt idx="2">
                  <c:v>MyntraFestiveEdit</c:v>
                </c:pt>
                <c:pt idx="3">
                  <c:v>StyleRevolution</c:v>
                </c:pt>
              </c:strCache>
            </c:strRef>
          </c:cat>
          <c:val>
            <c:numRef>
              <c:f>T5_Campaign_Effectiveness!$G$64:$G$67</c:f>
              <c:numCache>
                <c:formatCode>0.00</c:formatCode>
                <c:ptCount val="4"/>
                <c:pt idx="0">
                  <c:v>2.3475222222222221</c:v>
                </c:pt>
                <c:pt idx="1">
                  <c:v>2.6409625000000001</c:v>
                </c:pt>
                <c:pt idx="2">
                  <c:v>1.9207000000000001</c:v>
                </c:pt>
                <c:pt idx="3">
                  <c:v>2.1127699999999998</c:v>
                </c:pt>
              </c:numCache>
            </c:numRef>
          </c:val>
          <c:extLst>
            <c:ext xmlns:c16="http://schemas.microsoft.com/office/drawing/2014/chart" uri="{C3380CC4-5D6E-409C-BE32-E72D297353CC}">
              <c16:uniqueId val="{00000000-4049-4D46-918D-A4BAA1AC2035}"/>
            </c:ext>
          </c:extLst>
        </c:ser>
        <c:dLbls>
          <c:dLblPos val="outEnd"/>
          <c:showLegendKey val="0"/>
          <c:showVal val="1"/>
          <c:showCatName val="0"/>
          <c:showSerName val="0"/>
          <c:showPercent val="0"/>
          <c:showBubbleSize val="0"/>
        </c:dLbls>
        <c:gapWidth val="182"/>
        <c:axId val="1852879679"/>
        <c:axId val="1852883999"/>
      </c:barChart>
      <c:catAx>
        <c:axId val="1852879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883999"/>
        <c:crosses val="autoZero"/>
        <c:auto val="1"/>
        <c:lblAlgn val="ctr"/>
        <c:lblOffset val="100"/>
        <c:noMultiLvlLbl val="0"/>
      </c:catAx>
      <c:valAx>
        <c:axId val="18528839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8796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[Myntra_Social_Media_Analytics.xlsx]T5_Campaign_Effectiveness!PivotTable41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T5_Campaign_Effectiveness!$E$86</c:f>
              <c:strCache>
                <c:ptCount val="1"/>
                <c:pt idx="0">
                  <c:v>Total</c:v>
                </c:pt>
              </c:strCache>
            </c:strRef>
          </c:tx>
          <c:spPr>
            <a:solidFill>
              <a:schemeClr val="accent6"/>
            </a:solidFill>
            <a:ln>
              <a:noFill/>
            </a:ln>
            <a:effectLst/>
          </c:spPr>
          <c:invertIfNegative val="0"/>
          <c:cat>
            <c:multiLvlStrRef>
              <c:f>T5_Campaign_Effectiveness!$D$87:$D$99</c:f>
              <c:multiLvlStrCache>
                <c:ptCount val="8"/>
                <c:lvl>
                  <c:pt idx="0">
                    <c:v>Instagram</c:v>
                  </c:pt>
                  <c:pt idx="1">
                    <c:v>Twitter</c:v>
                  </c:pt>
                  <c:pt idx="2">
                    <c:v>Facebook</c:v>
                  </c:pt>
                  <c:pt idx="3">
                    <c:v>Instagram</c:v>
                  </c:pt>
                  <c:pt idx="4">
                    <c:v>Facebook</c:v>
                  </c:pt>
                  <c:pt idx="5">
                    <c:v>Instagram</c:v>
                  </c:pt>
                  <c:pt idx="6">
                    <c:v>Instagram</c:v>
                  </c:pt>
                  <c:pt idx="7">
                    <c:v>YouTube</c:v>
                  </c:pt>
                </c:lvl>
                <c:lvl>
                  <c:pt idx="0">
                    <c:v>StyleRevolution</c:v>
                  </c:pt>
                  <c:pt idx="2">
                    <c:v>MyntraFestiveEdit</c:v>
                  </c:pt>
                  <c:pt idx="4">
                    <c:v>EndOfSeasonSale</c:v>
                  </c:pt>
                  <c:pt idx="6">
                    <c:v>FashionUpgrade</c:v>
                  </c:pt>
                </c:lvl>
              </c:multiLvlStrCache>
            </c:multiLvlStrRef>
          </c:cat>
          <c:val>
            <c:numRef>
              <c:f>T5_Campaign_Effectiveness!$E$87:$E$99</c:f>
              <c:numCache>
                <c:formatCode>General</c:formatCode>
                <c:ptCount val="8"/>
                <c:pt idx="0">
                  <c:v>5931</c:v>
                </c:pt>
                <c:pt idx="1">
                  <c:v>3944</c:v>
                </c:pt>
                <c:pt idx="2">
                  <c:v>3312</c:v>
                </c:pt>
                <c:pt idx="3">
                  <c:v>5331</c:v>
                </c:pt>
                <c:pt idx="4">
                  <c:v>4399</c:v>
                </c:pt>
                <c:pt idx="5">
                  <c:v>1820</c:v>
                </c:pt>
                <c:pt idx="6">
                  <c:v>3362</c:v>
                </c:pt>
                <c:pt idx="7">
                  <c:v>1569</c:v>
                </c:pt>
              </c:numCache>
            </c:numRef>
          </c:val>
          <c:extLst>
            <c:ext xmlns:c16="http://schemas.microsoft.com/office/drawing/2014/chart" uri="{C3380CC4-5D6E-409C-BE32-E72D297353CC}">
              <c16:uniqueId val="{00000000-5323-4D4C-811C-509DDF67558D}"/>
            </c:ext>
          </c:extLst>
        </c:ser>
        <c:dLbls>
          <c:showLegendKey val="0"/>
          <c:showVal val="0"/>
          <c:showCatName val="0"/>
          <c:showSerName val="0"/>
          <c:showPercent val="0"/>
          <c:showBubbleSize val="0"/>
        </c:dLbls>
        <c:gapWidth val="219"/>
        <c:overlap val="-27"/>
        <c:axId val="415952112"/>
        <c:axId val="415956432"/>
      </c:barChart>
      <c:catAx>
        <c:axId val="41595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956432"/>
        <c:crosses val="autoZero"/>
        <c:auto val="1"/>
        <c:lblAlgn val="ctr"/>
        <c:lblOffset val="100"/>
        <c:noMultiLvlLbl val="0"/>
      </c:catAx>
      <c:valAx>
        <c:axId val="41595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9521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[Myntra_Social_Media_Analytics.xlsx]TBL_Engagement_summary (2)!PivotTable7</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'TBL_Engagement_summary (2)'!$M$2:$M$3</c:f>
              <c:strCache>
                <c:ptCount val="1"/>
                <c:pt idx="0">
                  <c:v>Facebook</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'TBL_Engagement_summary (2)'!$L$4:$L$16</c:f>
              <c:strCache>
                <c:ptCount val="12"/>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strCache>
            </c:strRef>
          </c:cat>
          <c:val>
            <c:numRef>
              <c:f>'TBL_Engagement_summary (2)'!$M$4:$M$16</c:f>
              <c:numCache>
                <c:formatCode>General</c:formatCode>
                <c:ptCount val="12"/>
                <c:pt idx="0">
                  <c:v>5337</c:v>
                </c:pt>
                <c:pt idx="1">
                  <c:v>852</c:v>
                </c:pt>
                <c:pt idx="2">
                  <c:v>2232</c:v>
                </c:pt>
                <c:pt idx="3">
                  <c:v>2373</c:v>
                </c:pt>
                <c:pt idx="4">
                  <c:v>2772</c:v>
                </c:pt>
                <c:pt idx="5">
                  <c:v>1838</c:v>
                </c:pt>
                <c:pt idx="6">
                  <c:v>6962</c:v>
                </c:pt>
                <c:pt idx="7">
                  <c:v>2243</c:v>
                </c:pt>
                <c:pt idx="8">
                  <c:v>4957</c:v>
                </c:pt>
                <c:pt idx="9">
                  <c:v>2893</c:v>
                </c:pt>
                <c:pt idx="10">
                  <c:v>2352</c:v>
                </c:pt>
                <c:pt idx="11">
                  <c:v>746</c:v>
                </c:pt>
              </c:numCache>
            </c:numRef>
          </c:val>
          <c:smooth val="0"/>
          <c:extLst>
            <c:ext xmlns:c16="http://schemas.microsoft.com/office/drawing/2014/chart" uri="{C3380CC4-5D6E-409C-BE32-E72D297353CC}">
              <c16:uniqueId val="{00000000-DE85-442D-9128-C0E92F5F0907}"/>
            </c:ext>
          </c:extLst>
        </c:ser>
        <c:ser>
          <c:idx val="1"/>
          <c:order val="1"/>
          <c:tx>
            <c:strRef>
              <c:f>'TBL_Engagement_summary (2)'!$N$2:$N$3</c:f>
              <c:strCache>
                <c:ptCount val="1"/>
                <c:pt idx="0">
                  <c:v>Instagram</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'TBL_Engagement_summary (2)'!$L$4:$L$16</c:f>
              <c:strCache>
                <c:ptCount val="12"/>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strCache>
            </c:strRef>
          </c:cat>
          <c:val>
            <c:numRef>
              <c:f>'TBL_Engagement_summary (2)'!$N$4:$N$16</c:f>
              <c:numCache>
                <c:formatCode>General</c:formatCode>
                <c:ptCount val="12"/>
                <c:pt idx="0">
                  <c:v>3086</c:v>
                </c:pt>
                <c:pt idx="1">
                  <c:v>3998</c:v>
                </c:pt>
                <c:pt idx="2">
                  <c:v>3362</c:v>
                </c:pt>
                <c:pt idx="3">
                  <c:v>4887</c:v>
                </c:pt>
                <c:pt idx="4">
                  <c:v>3934</c:v>
                </c:pt>
                <c:pt idx="5">
                  <c:v>3943</c:v>
                </c:pt>
                <c:pt idx="6">
                  <c:v>6625</c:v>
                </c:pt>
                <c:pt idx="7">
                  <c:v>4031</c:v>
                </c:pt>
                <c:pt idx="8">
                  <c:v>5143</c:v>
                </c:pt>
                <c:pt idx="9">
                  <c:v>3309</c:v>
                </c:pt>
                <c:pt idx="10">
                  <c:v>2149</c:v>
                </c:pt>
                <c:pt idx="11">
                  <c:v>3537</c:v>
                </c:pt>
              </c:numCache>
            </c:numRef>
          </c:val>
          <c:smooth val="0"/>
          <c:extLst>
            <c:ext xmlns:c16="http://schemas.microsoft.com/office/drawing/2014/chart" uri="{C3380CC4-5D6E-409C-BE32-E72D297353CC}">
              <c16:uniqueId val="{00000001-DE85-442D-9128-C0E92F5F0907}"/>
            </c:ext>
          </c:extLst>
        </c:ser>
        <c:ser>
          <c:idx val="2"/>
          <c:order val="2"/>
          <c:tx>
            <c:strRef>
              <c:f>'TBL_Engagement_summary (2)'!$O$2:$O$3</c:f>
              <c:strCache>
                <c:ptCount val="1"/>
                <c:pt idx="0">
                  <c:v>Twitter</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'TBL_Engagement_summary (2)'!$L$4:$L$16</c:f>
              <c:strCache>
                <c:ptCount val="12"/>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strCache>
            </c:strRef>
          </c:cat>
          <c:val>
            <c:numRef>
              <c:f>'TBL_Engagement_summary (2)'!$O$4:$O$16</c:f>
              <c:numCache>
                <c:formatCode>General</c:formatCode>
                <c:ptCount val="12"/>
                <c:pt idx="0">
                  <c:v>2731</c:v>
                </c:pt>
                <c:pt idx="1">
                  <c:v>5144</c:v>
                </c:pt>
                <c:pt idx="2">
                  <c:v>3259</c:v>
                </c:pt>
                <c:pt idx="3">
                  <c:v>3861</c:v>
                </c:pt>
                <c:pt idx="4">
                  <c:v>760</c:v>
                </c:pt>
                <c:pt idx="5">
                  <c:v>3296</c:v>
                </c:pt>
                <c:pt idx="6">
                  <c:v>6699</c:v>
                </c:pt>
                <c:pt idx="7">
                  <c:v>3361</c:v>
                </c:pt>
                <c:pt idx="8">
                  <c:v>2442</c:v>
                </c:pt>
                <c:pt idx="9">
                  <c:v>5078</c:v>
                </c:pt>
                <c:pt idx="10">
                  <c:v>2767</c:v>
                </c:pt>
                <c:pt idx="11">
                  <c:v>1779</c:v>
                </c:pt>
              </c:numCache>
            </c:numRef>
          </c:val>
          <c:smooth val="0"/>
          <c:extLst>
            <c:ext xmlns:c16="http://schemas.microsoft.com/office/drawing/2014/chart" uri="{C3380CC4-5D6E-409C-BE32-E72D297353CC}">
              <c16:uniqueId val="{00000002-DE85-442D-9128-C0E92F5F0907}"/>
            </c:ext>
          </c:extLst>
        </c:ser>
        <c:ser>
          <c:idx val="3"/>
          <c:order val="3"/>
          <c:tx>
            <c:strRef>
              <c:f>'TBL_Engagement_summary (2)'!$P$2:$P$3</c:f>
              <c:strCache>
                <c:ptCount val="1"/>
                <c:pt idx="0">
                  <c:v>YouTube</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cat>
            <c:strRef>
              <c:f>'TBL_Engagement_summary (2)'!$L$4:$L$16</c:f>
              <c:strCache>
                <c:ptCount val="12"/>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strCache>
            </c:strRef>
          </c:cat>
          <c:val>
            <c:numRef>
              <c:f>'TBL_Engagement_summary (2)'!$P$4:$P$16</c:f>
              <c:numCache>
                <c:formatCode>General</c:formatCode>
                <c:ptCount val="12"/>
                <c:pt idx="0">
                  <c:v>2298</c:v>
                </c:pt>
                <c:pt idx="1">
                  <c:v>1557</c:v>
                </c:pt>
                <c:pt idx="2">
                  <c:v>1569</c:v>
                </c:pt>
                <c:pt idx="3">
                  <c:v>4113</c:v>
                </c:pt>
                <c:pt idx="4">
                  <c:v>3626</c:v>
                </c:pt>
                <c:pt idx="5">
                  <c:v>2338</c:v>
                </c:pt>
                <c:pt idx="6">
                  <c:v>4789</c:v>
                </c:pt>
                <c:pt idx="7">
                  <c:v>3696</c:v>
                </c:pt>
                <c:pt idx="8">
                  <c:v>3432</c:v>
                </c:pt>
                <c:pt idx="9">
                  <c:v>4798</c:v>
                </c:pt>
                <c:pt idx="10">
                  <c:v>2624</c:v>
                </c:pt>
                <c:pt idx="11">
                  <c:v>527</c:v>
                </c:pt>
              </c:numCache>
            </c:numRef>
          </c:val>
          <c:smooth val="0"/>
          <c:extLst>
            <c:ext xmlns:c16="http://schemas.microsoft.com/office/drawing/2014/chart" uri="{C3380CC4-5D6E-409C-BE32-E72D297353CC}">
              <c16:uniqueId val="{00000003-DE85-442D-9128-C0E92F5F0907}"/>
            </c:ext>
          </c:extLst>
        </c:ser>
        <c:dLbls>
          <c:showLegendKey val="0"/>
          <c:showVal val="0"/>
          <c:showCatName val="0"/>
          <c:showSerName val="0"/>
          <c:showPercent val="0"/>
          <c:showBubbleSize val="0"/>
        </c:dLbls>
        <c:marker val="1"/>
        <c:smooth val="0"/>
        <c:axId val="852007519"/>
        <c:axId val="852007999"/>
      </c:lineChart>
      <c:catAx>
        <c:axId val="8520075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007999"/>
        <c:crosses val="autoZero"/>
        <c:auto val="1"/>
        <c:lblAlgn val="ctr"/>
        <c:lblOffset val="100"/>
        <c:noMultiLvlLbl val="0"/>
      </c:catAx>
      <c:valAx>
        <c:axId val="852007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200751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Week</a:t>
            </a:r>
            <a:r>
              <a:rPr lang="en-US" baseline="0"/>
              <a:t> date </a:t>
            </a:r>
            <a:r>
              <a:rPr lang="en-US" baseline="0">
                <a:solidFill>
                  <a:srgbClr val="FF0000"/>
                </a:solidFill>
              </a:rPr>
              <a:t>vs</a:t>
            </a:r>
            <a:r>
              <a:rPr lang="en-US" baseline="0"/>
              <a:t> follower growth moving average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Dump!$H$63:$H$64</c:f>
              <c:strCache>
                <c:ptCount val="2"/>
                <c:pt idx="0">
                  <c:v>3554</c:v>
                </c:pt>
                <c:pt idx="1">
                  <c:v>2980</c:v>
                </c:pt>
              </c:strCache>
            </c:strRef>
          </c:tx>
          <c:spPr>
            <a:ln w="34925" cap="rnd">
              <a:solidFill>
                <a:srgbClr val="FFFF00"/>
              </a:solidFill>
              <a:round/>
            </a:ln>
            <a:effectLst>
              <a:outerShdw dist="25400" dir="2700000" algn="tl" rotWithShape="0">
                <a:schemeClr val="accent1"/>
              </a:outerShdw>
            </a:effectLst>
          </c:spPr>
          <c:marker>
            <c:symbol val="none"/>
          </c:marker>
          <c:cat>
            <c:numRef>
              <c:f>Dump!$B$65:$B$112</c:f>
              <c:numCache>
                <c:formatCode>[$-14009]dd\-mm\-yy;@</c:formatCode>
                <c:ptCount val="48"/>
                <c:pt idx="0">
                  <c:v>45460</c:v>
                </c:pt>
                <c:pt idx="1">
                  <c:v>45467</c:v>
                </c:pt>
                <c:pt idx="2">
                  <c:v>45474</c:v>
                </c:pt>
                <c:pt idx="3">
                  <c:v>45481</c:v>
                </c:pt>
                <c:pt idx="4">
                  <c:v>45488</c:v>
                </c:pt>
                <c:pt idx="5">
                  <c:v>45495</c:v>
                </c:pt>
                <c:pt idx="6">
                  <c:v>45502</c:v>
                </c:pt>
                <c:pt idx="7">
                  <c:v>45509</c:v>
                </c:pt>
                <c:pt idx="8">
                  <c:v>45516</c:v>
                </c:pt>
                <c:pt idx="9">
                  <c:v>45523</c:v>
                </c:pt>
                <c:pt idx="10">
                  <c:v>45530</c:v>
                </c:pt>
                <c:pt idx="11">
                  <c:v>45537</c:v>
                </c:pt>
                <c:pt idx="12">
                  <c:v>45544</c:v>
                </c:pt>
                <c:pt idx="13">
                  <c:v>45551</c:v>
                </c:pt>
                <c:pt idx="14">
                  <c:v>45558</c:v>
                </c:pt>
                <c:pt idx="15">
                  <c:v>45565</c:v>
                </c:pt>
                <c:pt idx="16">
                  <c:v>45572</c:v>
                </c:pt>
                <c:pt idx="17">
                  <c:v>45579</c:v>
                </c:pt>
                <c:pt idx="18">
                  <c:v>45586</c:v>
                </c:pt>
                <c:pt idx="19">
                  <c:v>45593</c:v>
                </c:pt>
                <c:pt idx="20">
                  <c:v>45600</c:v>
                </c:pt>
                <c:pt idx="21">
                  <c:v>45607</c:v>
                </c:pt>
                <c:pt idx="22">
                  <c:v>45614</c:v>
                </c:pt>
                <c:pt idx="23">
                  <c:v>45621</c:v>
                </c:pt>
                <c:pt idx="24">
                  <c:v>45628</c:v>
                </c:pt>
                <c:pt idx="25">
                  <c:v>45635</c:v>
                </c:pt>
                <c:pt idx="26">
                  <c:v>45642</c:v>
                </c:pt>
                <c:pt idx="27">
                  <c:v>45649</c:v>
                </c:pt>
                <c:pt idx="28">
                  <c:v>45656</c:v>
                </c:pt>
                <c:pt idx="29">
                  <c:v>45663</c:v>
                </c:pt>
                <c:pt idx="30">
                  <c:v>45670</c:v>
                </c:pt>
                <c:pt idx="31">
                  <c:v>45677</c:v>
                </c:pt>
                <c:pt idx="32">
                  <c:v>45684</c:v>
                </c:pt>
                <c:pt idx="33">
                  <c:v>45691</c:v>
                </c:pt>
                <c:pt idx="34">
                  <c:v>45698</c:v>
                </c:pt>
                <c:pt idx="35">
                  <c:v>45705</c:v>
                </c:pt>
                <c:pt idx="36">
                  <c:v>45712</c:v>
                </c:pt>
                <c:pt idx="37">
                  <c:v>45719</c:v>
                </c:pt>
                <c:pt idx="38">
                  <c:v>45726</c:v>
                </c:pt>
                <c:pt idx="39">
                  <c:v>45733</c:v>
                </c:pt>
                <c:pt idx="40">
                  <c:v>45740</c:v>
                </c:pt>
                <c:pt idx="41">
                  <c:v>45747</c:v>
                </c:pt>
                <c:pt idx="42">
                  <c:v>45754</c:v>
                </c:pt>
                <c:pt idx="43">
                  <c:v>45761</c:v>
                </c:pt>
                <c:pt idx="44">
                  <c:v>45768</c:v>
                </c:pt>
                <c:pt idx="45">
                  <c:v>45775</c:v>
                </c:pt>
                <c:pt idx="46">
                  <c:v>45782</c:v>
                </c:pt>
                <c:pt idx="47">
                  <c:v>45789</c:v>
                </c:pt>
              </c:numCache>
            </c:numRef>
          </c:cat>
          <c:val>
            <c:numRef>
              <c:f>Dump!$H$65:$H$112</c:f>
              <c:numCache>
                <c:formatCode>0.0</c:formatCode>
                <c:ptCount val="48"/>
                <c:pt idx="0">
                  <c:v>3480.3333333333335</c:v>
                </c:pt>
                <c:pt idx="1">
                  <c:v>3299.3333333333335</c:v>
                </c:pt>
                <c:pt idx="2">
                  <c:v>2737</c:v>
                </c:pt>
                <c:pt idx="3">
                  <c:v>2448.6666666666665</c:v>
                </c:pt>
                <c:pt idx="4">
                  <c:v>2201.6666666666665</c:v>
                </c:pt>
                <c:pt idx="5">
                  <c:v>2688.3333333333335</c:v>
                </c:pt>
                <c:pt idx="6">
                  <c:v>2405.3333333333335</c:v>
                </c:pt>
                <c:pt idx="7">
                  <c:v>1916</c:v>
                </c:pt>
                <c:pt idx="8">
                  <c:v>2241</c:v>
                </c:pt>
                <c:pt idx="9">
                  <c:v>2506.3333333333335</c:v>
                </c:pt>
                <c:pt idx="10">
                  <c:v>3206.6666666666665</c:v>
                </c:pt>
                <c:pt idx="11">
                  <c:v>2904.6666666666665</c:v>
                </c:pt>
                <c:pt idx="12">
                  <c:v>3361.6666666666665</c:v>
                </c:pt>
                <c:pt idx="13">
                  <c:v>2916.6666666666665</c:v>
                </c:pt>
                <c:pt idx="14">
                  <c:v>3087</c:v>
                </c:pt>
                <c:pt idx="15">
                  <c:v>2684</c:v>
                </c:pt>
                <c:pt idx="16">
                  <c:v>3414.3333333333335</c:v>
                </c:pt>
                <c:pt idx="17">
                  <c:v>2922</c:v>
                </c:pt>
                <c:pt idx="18">
                  <c:v>2812</c:v>
                </c:pt>
                <c:pt idx="19">
                  <c:v>2444.3333333333335</c:v>
                </c:pt>
                <c:pt idx="20">
                  <c:v>3353.6666666666665</c:v>
                </c:pt>
                <c:pt idx="21">
                  <c:v>3178.3333333333335</c:v>
                </c:pt>
                <c:pt idx="22">
                  <c:v>2469</c:v>
                </c:pt>
                <c:pt idx="23">
                  <c:v>2277</c:v>
                </c:pt>
                <c:pt idx="24">
                  <c:v>3110.3333333333335</c:v>
                </c:pt>
                <c:pt idx="25">
                  <c:v>4531.666666666667</c:v>
                </c:pt>
                <c:pt idx="26">
                  <c:v>4877</c:v>
                </c:pt>
                <c:pt idx="27">
                  <c:v>4583.333333333333</c:v>
                </c:pt>
                <c:pt idx="28">
                  <c:v>5162.666666666667</c:v>
                </c:pt>
                <c:pt idx="29">
                  <c:v>4667</c:v>
                </c:pt>
                <c:pt idx="30">
                  <c:v>4288</c:v>
                </c:pt>
                <c:pt idx="31">
                  <c:v>3316</c:v>
                </c:pt>
                <c:pt idx="32">
                  <c:v>3258</c:v>
                </c:pt>
                <c:pt idx="33">
                  <c:v>3063.6666666666665</c:v>
                </c:pt>
                <c:pt idx="34">
                  <c:v>3619.3333333333335</c:v>
                </c:pt>
                <c:pt idx="35">
                  <c:v>3722.6666666666665</c:v>
                </c:pt>
                <c:pt idx="36">
                  <c:v>4593.333333333333</c:v>
                </c:pt>
                <c:pt idx="37">
                  <c:v>3636.3333333333335</c:v>
                </c:pt>
                <c:pt idx="38">
                  <c:v>3642.6666666666665</c:v>
                </c:pt>
                <c:pt idx="39">
                  <c:v>3388</c:v>
                </c:pt>
                <c:pt idx="40">
                  <c:v>3123.3333333333335</c:v>
                </c:pt>
                <c:pt idx="41">
                  <c:v>3318.6666666666665</c:v>
                </c:pt>
                <c:pt idx="42">
                  <c:v>2775.3333333333335</c:v>
                </c:pt>
                <c:pt idx="43">
                  <c:v>2191</c:v>
                </c:pt>
                <c:pt idx="44">
                  <c:v>2105</c:v>
                </c:pt>
                <c:pt idx="45">
                  <c:v>2493.3333333333335</c:v>
                </c:pt>
                <c:pt idx="46">
                  <c:v>4070.3333333333335</c:v>
                </c:pt>
                <c:pt idx="47">
                  <c:v>3388.6666666666665</c:v>
                </c:pt>
              </c:numCache>
            </c:numRef>
          </c:val>
          <c:smooth val="0"/>
          <c:extLst>
            <c:ext xmlns:c16="http://schemas.microsoft.com/office/drawing/2014/chart" uri="{C3380CC4-5D6E-409C-BE32-E72D297353CC}">
              <c16:uniqueId val="{00000000-A2F1-4150-9A12-7F2010CD9B0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851997439"/>
        <c:axId val="851998399"/>
      </c:lineChart>
      <c:dateAx>
        <c:axId val="851997439"/>
        <c:scaling>
          <c:orientation val="minMax"/>
        </c:scaling>
        <c:delete val="0"/>
        <c:axPos val="b"/>
        <c:numFmt formatCode="[$-14009]dd\-mm\-yy;@"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51998399"/>
        <c:crosses val="autoZero"/>
        <c:auto val="1"/>
        <c:lblOffset val="100"/>
        <c:baseTimeUnit val="days"/>
      </c:dateAx>
      <c:valAx>
        <c:axId val="85199839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51997439"/>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AD Spend vs Follower Gained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'CAMPAIGN DATA T6t4'!$E$1</c:f>
              <c:strCache>
                <c:ptCount val="1"/>
                <c:pt idx="0">
                  <c:v>Ad_Spend_Actual</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'CAMPAIGN DATA T6t4'!$A$2:$A$9</c:f>
              <c:strCache>
                <c:ptCount val="8"/>
                <c:pt idx="0">
                  <c:v>StyleRevolution</c:v>
                </c:pt>
                <c:pt idx="1">
                  <c:v>StyleRevolution</c:v>
                </c:pt>
                <c:pt idx="2">
                  <c:v>MyntraFestiveEdit</c:v>
                </c:pt>
                <c:pt idx="3">
                  <c:v>MyntraFestiveEdit</c:v>
                </c:pt>
                <c:pt idx="4">
                  <c:v>FashionUpgrade</c:v>
                </c:pt>
                <c:pt idx="5">
                  <c:v>FashionUpgrade</c:v>
                </c:pt>
                <c:pt idx="6">
                  <c:v>EndOfSeasonSale</c:v>
                </c:pt>
                <c:pt idx="7">
                  <c:v>EndOfSeasonSale</c:v>
                </c:pt>
              </c:strCache>
            </c:strRef>
          </c:xVal>
          <c:yVal>
            <c:numRef>
              <c:f>'CAMPAIGN DATA T6t4'!$E$2:$E$9</c:f>
              <c:numCache>
                <c:formatCode>General</c:formatCode>
                <c:ptCount val="8"/>
                <c:pt idx="0">
                  <c:v>97334</c:v>
                </c:pt>
                <c:pt idx="1">
                  <c:v>167951</c:v>
                </c:pt>
                <c:pt idx="2">
                  <c:v>159690</c:v>
                </c:pt>
                <c:pt idx="3">
                  <c:v>129155</c:v>
                </c:pt>
                <c:pt idx="4">
                  <c:v>156818</c:v>
                </c:pt>
                <c:pt idx="5">
                  <c:v>99499</c:v>
                </c:pt>
                <c:pt idx="6">
                  <c:v>48865</c:v>
                </c:pt>
                <c:pt idx="7">
                  <c:v>127536</c:v>
                </c:pt>
              </c:numCache>
            </c:numRef>
          </c:yVal>
          <c:smooth val="0"/>
          <c:extLst>
            <c:ext xmlns:c16="http://schemas.microsoft.com/office/drawing/2014/chart" uri="{C3380CC4-5D6E-409C-BE32-E72D297353CC}">
              <c16:uniqueId val="{00000000-C781-4394-8078-180512637E60}"/>
            </c:ext>
          </c:extLst>
        </c:ser>
        <c:ser>
          <c:idx val="1"/>
          <c:order val="1"/>
          <c:tx>
            <c:strRef>
              <c:f>'CAMPAIGN DATA T6t4'!$F$1</c:f>
              <c:strCache>
                <c:ptCount val="1"/>
                <c:pt idx="0">
                  <c:v>Net_Followers_Gained</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'CAMPAIGN DATA T6t4'!$A$2:$A$9</c:f>
              <c:strCache>
                <c:ptCount val="8"/>
                <c:pt idx="0">
                  <c:v>StyleRevolution</c:v>
                </c:pt>
                <c:pt idx="1">
                  <c:v>StyleRevolution</c:v>
                </c:pt>
                <c:pt idx="2">
                  <c:v>MyntraFestiveEdit</c:v>
                </c:pt>
                <c:pt idx="3">
                  <c:v>MyntraFestiveEdit</c:v>
                </c:pt>
                <c:pt idx="4">
                  <c:v>FashionUpgrade</c:v>
                </c:pt>
                <c:pt idx="5">
                  <c:v>FashionUpgrade</c:v>
                </c:pt>
                <c:pt idx="6">
                  <c:v>EndOfSeasonSale</c:v>
                </c:pt>
                <c:pt idx="7">
                  <c:v>EndOfSeasonSale</c:v>
                </c:pt>
              </c:strCache>
            </c:strRef>
          </c:xVal>
          <c:yVal>
            <c:numRef>
              <c:f>'CAMPAIGN DATA T6t4'!$F$2:$F$9</c:f>
              <c:numCache>
                <c:formatCode>General</c:formatCode>
                <c:ptCount val="8"/>
                <c:pt idx="0">
                  <c:v>5931</c:v>
                </c:pt>
                <c:pt idx="1">
                  <c:v>3944</c:v>
                </c:pt>
                <c:pt idx="2">
                  <c:v>5331</c:v>
                </c:pt>
                <c:pt idx="3">
                  <c:v>3312</c:v>
                </c:pt>
                <c:pt idx="4">
                  <c:v>3362</c:v>
                </c:pt>
                <c:pt idx="5">
                  <c:v>1569</c:v>
                </c:pt>
                <c:pt idx="6">
                  <c:v>1820</c:v>
                </c:pt>
                <c:pt idx="7">
                  <c:v>4399</c:v>
                </c:pt>
              </c:numCache>
            </c:numRef>
          </c:yVal>
          <c:smooth val="0"/>
          <c:extLst>
            <c:ext xmlns:c16="http://schemas.microsoft.com/office/drawing/2014/chart" uri="{C3380CC4-5D6E-409C-BE32-E72D297353CC}">
              <c16:uniqueId val="{00000001-C781-4394-8078-180512637E60}"/>
            </c:ext>
          </c:extLst>
        </c:ser>
        <c:dLbls>
          <c:dLblPos val="t"/>
          <c:showLegendKey val="0"/>
          <c:showVal val="1"/>
          <c:showCatName val="0"/>
          <c:showSerName val="0"/>
          <c:showPercent val="0"/>
          <c:showBubbleSize val="0"/>
        </c:dLbls>
        <c:axId val="1355217840"/>
        <c:axId val="1355221200"/>
      </c:scatterChart>
      <c:valAx>
        <c:axId val="135521784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221200"/>
        <c:crosses val="autoZero"/>
        <c:crossBetween val="midCat"/>
      </c:valAx>
      <c:valAx>
        <c:axId val="135522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2178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https://docs.google.com/spreadsheets/d/1Z0QBzr_JZOGSFI7tIN6mqtZACkGwgQ7V/edit?usp=sharing&amp;ouid=118383591448043542345&amp;rtpof=true&amp;sd=tru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26894</xdr:rowOff>
    </xdr:from>
    <xdr:ext cx="5325035" cy="7664824"/>
    <xdr:sp macro="" textlink="">
      <xdr:nvSpPr>
        <xdr:cNvPr id="2" name="TextBox 1">
          <a:extLst>
            <a:ext uri="{FF2B5EF4-FFF2-40B4-BE49-F238E27FC236}">
              <a16:creationId xmlns:a16="http://schemas.microsoft.com/office/drawing/2014/main" id="{24AFC5A7-2855-437E-9145-638F7BE0D084}"/>
            </a:ext>
          </a:extLst>
        </xdr:cNvPr>
        <xdr:cNvSpPr txBox="1"/>
      </xdr:nvSpPr>
      <xdr:spPr>
        <a:xfrm>
          <a:off x="0" y="26894"/>
          <a:ext cx="5325035" cy="7664824"/>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2000" b="1" u="sng">
              <a:solidFill>
                <a:schemeClr val="accent2"/>
              </a:solidFill>
            </a:rPr>
            <a:t>SHEETS</a:t>
          </a:r>
          <a:r>
            <a:rPr lang="en-US" sz="2000" b="1" u="none" baseline="0">
              <a:solidFill>
                <a:schemeClr val="accent2"/>
              </a:solidFill>
            </a:rPr>
            <a:t> -&gt;</a:t>
          </a:r>
        </a:p>
        <a:p>
          <a:pPr algn="l"/>
          <a:br>
            <a:rPr lang="en-US" sz="2000" b="1">
              <a:solidFill>
                <a:schemeClr val="tx1"/>
              </a:solidFill>
            </a:rPr>
          </a:br>
          <a:r>
            <a:rPr lang="en-US" sz="2000" b="1">
              <a:solidFill>
                <a:schemeClr val="tx1"/>
              </a:solidFill>
            </a:rPr>
            <a:t>	Raw Data Sheets </a:t>
          </a:r>
        </a:p>
        <a:p>
          <a:pPr algn="l"/>
          <a:r>
            <a:rPr lang="en-US" sz="2000" b="1">
              <a:solidFill>
                <a:schemeClr val="tx1"/>
              </a:solidFill>
              <a:effectLst/>
            </a:rPr>
            <a:t>		</a:t>
          </a:r>
          <a:r>
            <a:rPr lang="en-US" sz="1600">
              <a:solidFill>
                <a:schemeClr val="tx1"/>
              </a:solidFill>
              <a:effectLst/>
            </a:rPr>
            <a:t>1. Raw_Post </a:t>
          </a:r>
        </a:p>
        <a:p>
          <a:pPr algn="l"/>
          <a:r>
            <a:rPr lang="en-US" sz="1600">
              <a:solidFill>
                <a:schemeClr val="tx1"/>
              </a:solidFill>
              <a:effectLst/>
            </a:rPr>
            <a:t>		2. </a:t>
          </a:r>
          <a:r>
            <a:rPr kumimoji="0" lang="en-US" sz="1600" b="0" i="0" u="none" strike="noStrike" kern="0" cap="none" spc="0" normalizeH="0" baseline="0" noProof="0">
              <a:ln>
                <a:noFill/>
              </a:ln>
              <a:solidFill>
                <a:srgbClr val="000000"/>
              </a:solidFill>
              <a:effectLst/>
              <a:uLnTx/>
              <a:uFillTx/>
              <a:latin typeface="+mn-lt"/>
              <a:ea typeface="+mn-ea"/>
              <a:cs typeface="+mn-cs"/>
            </a:rPr>
            <a:t>Raw_</a:t>
          </a:r>
          <a:r>
            <a:rPr lang="en-US" sz="1600">
              <a:solidFill>
                <a:schemeClr val="tx1"/>
              </a:solidFill>
              <a:effectLst/>
            </a:rPr>
            <a:t>Engagement Summary </a:t>
          </a:r>
        </a:p>
        <a:p>
          <a:pPr algn="l"/>
          <a:r>
            <a:rPr lang="en-US" sz="1600">
              <a:solidFill>
                <a:schemeClr val="tx1"/>
              </a:solidFill>
              <a:effectLst/>
            </a:rPr>
            <a:t>		3. </a:t>
          </a:r>
          <a:r>
            <a:rPr kumimoji="0" lang="en-US" sz="1600" b="0" i="0" u="none" strike="noStrike" kern="0" cap="none" spc="0" normalizeH="0" baseline="0" noProof="0">
              <a:ln>
                <a:noFill/>
              </a:ln>
              <a:solidFill>
                <a:srgbClr val="000000"/>
              </a:solidFill>
              <a:effectLst/>
              <a:uLnTx/>
              <a:uFillTx/>
              <a:latin typeface="+mn-lt"/>
              <a:ea typeface="+mn-ea"/>
              <a:cs typeface="+mn-cs"/>
            </a:rPr>
            <a:t>Raw_</a:t>
          </a:r>
          <a:r>
            <a:rPr lang="en-US" sz="1600">
              <a:solidFill>
                <a:schemeClr val="tx1"/>
              </a:solidFill>
              <a:effectLst/>
            </a:rPr>
            <a:t>Campaign Data</a:t>
          </a:r>
        </a:p>
        <a:p>
          <a:pPr algn="l"/>
          <a:endParaRPr lang="en-US" sz="1600">
            <a:solidFill>
              <a:schemeClr val="tx1"/>
            </a:solidFill>
            <a:effectLst/>
          </a:endParaRPr>
        </a:p>
        <a:p>
          <a:pPr algn="l"/>
          <a:r>
            <a:rPr lang="en-US" sz="1600" b="1">
              <a:solidFill>
                <a:schemeClr val="tx1"/>
              </a:solidFill>
              <a:effectLst/>
              <a:latin typeface="+mn-lt"/>
              <a:ea typeface="+mn-ea"/>
              <a:cs typeface="+mn-cs"/>
            </a:rPr>
            <a:t>	</a:t>
          </a:r>
          <a:r>
            <a:rPr lang="en-US" sz="2000" b="1">
              <a:solidFill>
                <a:schemeClr val="tx1"/>
              </a:solidFill>
              <a:effectLst/>
              <a:latin typeface="+mn-lt"/>
              <a:ea typeface="+mn-ea"/>
              <a:cs typeface="+mn-cs"/>
            </a:rPr>
            <a:t>Task 1</a:t>
          </a:r>
          <a:r>
            <a:rPr lang="en-US" sz="2000" b="1" baseline="0">
              <a:solidFill>
                <a:schemeClr val="tx1"/>
              </a:solidFill>
              <a:effectLst/>
              <a:latin typeface="+mn-lt"/>
              <a:ea typeface="+mn-ea"/>
              <a:cs typeface="+mn-cs"/>
            </a:rPr>
            <a:t> - </a:t>
          </a:r>
          <a:r>
            <a:rPr lang="en-US" sz="2000" b="1">
              <a:solidFill>
                <a:schemeClr val="tx1"/>
              </a:solidFill>
              <a:effectLst/>
              <a:latin typeface="+mn-lt"/>
              <a:ea typeface="+mn-ea"/>
              <a:cs typeface="+mn-cs"/>
            </a:rPr>
            <a:t>Cleaned Data Sheets </a:t>
          </a:r>
          <a:endParaRPr lang="en-US" sz="2000">
            <a:solidFill>
              <a:schemeClr val="tx1"/>
            </a:solidFill>
            <a:effectLst/>
          </a:endParaRPr>
        </a:p>
        <a:p>
          <a:r>
            <a:rPr lang="en-US" sz="1600">
              <a:solidFill>
                <a:schemeClr val="tx1"/>
              </a:solidFill>
              <a:effectLst/>
              <a:latin typeface="+mn-lt"/>
              <a:ea typeface="+mn-ea"/>
              <a:cs typeface="+mn-cs"/>
            </a:rPr>
            <a:t>		1. TBL_Post </a:t>
          </a:r>
          <a:endParaRPr lang="en-US" sz="1600">
            <a:effectLst/>
          </a:endParaRPr>
        </a:p>
        <a:p>
          <a:r>
            <a:rPr lang="en-US" sz="1600">
              <a:solidFill>
                <a:schemeClr val="tx1"/>
              </a:solidFill>
              <a:effectLst/>
              <a:latin typeface="+mn-lt"/>
              <a:ea typeface="+mn-ea"/>
              <a:cs typeface="+mn-cs"/>
            </a:rPr>
            <a:t>		2. </a:t>
          </a:r>
          <a:r>
            <a:rPr kumimoji="0" lang="en-US" sz="1600" b="0" i="0" u="none" strike="noStrike" kern="0" cap="none" spc="0" normalizeH="0" baseline="0" noProof="0">
              <a:ln>
                <a:noFill/>
              </a:ln>
              <a:solidFill>
                <a:srgbClr val="000000"/>
              </a:solidFill>
              <a:effectLst/>
              <a:uLnTx/>
              <a:uFillTx/>
              <a:latin typeface="+mn-lt"/>
              <a:ea typeface="+mn-ea"/>
              <a:cs typeface="+mn-cs"/>
            </a:rPr>
            <a:t>TBL_</a:t>
          </a:r>
          <a:r>
            <a:rPr lang="en-US" sz="1600">
              <a:solidFill>
                <a:schemeClr val="tx1"/>
              </a:solidFill>
              <a:effectLst/>
              <a:latin typeface="+mn-lt"/>
              <a:ea typeface="+mn-ea"/>
              <a:cs typeface="+mn-cs"/>
            </a:rPr>
            <a:t>Engagement Summary </a:t>
          </a:r>
          <a:endParaRPr lang="en-US" sz="1600">
            <a:effectLst/>
          </a:endParaRPr>
        </a:p>
        <a:p>
          <a:r>
            <a:rPr lang="en-US" sz="1600">
              <a:solidFill>
                <a:schemeClr val="tx1"/>
              </a:solidFill>
              <a:effectLst/>
              <a:latin typeface="+mn-lt"/>
              <a:ea typeface="+mn-ea"/>
              <a:cs typeface="+mn-cs"/>
            </a:rPr>
            <a:t>		3. </a:t>
          </a:r>
          <a:r>
            <a:rPr kumimoji="0" lang="en-US" sz="1600" b="0" i="0" u="none" strike="noStrike" kern="0" cap="none" spc="0" normalizeH="0" baseline="0" noProof="0">
              <a:ln>
                <a:noFill/>
              </a:ln>
              <a:solidFill>
                <a:srgbClr val="000000"/>
              </a:solidFill>
              <a:effectLst/>
              <a:uLnTx/>
              <a:uFillTx/>
              <a:latin typeface="+mn-lt"/>
              <a:ea typeface="+mn-ea"/>
              <a:cs typeface="+mn-cs"/>
            </a:rPr>
            <a:t>TBL_</a:t>
          </a:r>
          <a:r>
            <a:rPr lang="en-US" sz="1600">
              <a:solidFill>
                <a:schemeClr val="tx1"/>
              </a:solidFill>
              <a:effectLst/>
              <a:latin typeface="+mn-lt"/>
              <a:ea typeface="+mn-ea"/>
              <a:cs typeface="+mn-cs"/>
            </a:rPr>
            <a:t>Campaign Data</a:t>
          </a:r>
        </a:p>
        <a:p>
          <a:endParaRPr lang="en-US" sz="16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tx1"/>
              </a:solidFill>
              <a:effectLst/>
              <a:latin typeface="+mn-lt"/>
              <a:ea typeface="+mn-ea"/>
              <a:cs typeface="+mn-cs"/>
            </a:rPr>
            <a:t>	</a:t>
          </a:r>
          <a:r>
            <a:rPr lang="en-US" sz="2000" b="1">
              <a:solidFill>
                <a:schemeClr val="tx1"/>
              </a:solidFill>
              <a:effectLst/>
              <a:latin typeface="+mn-lt"/>
              <a:ea typeface="+mn-ea"/>
              <a:cs typeface="+mn-cs"/>
            </a:rPr>
            <a:t>Task 2 - </a:t>
          </a:r>
          <a:r>
            <a:rPr lang="en-US" sz="1600" b="0">
              <a:solidFill>
                <a:schemeClr val="tx1"/>
              </a:solidFill>
              <a:effectLst/>
              <a:latin typeface="+mn-lt"/>
              <a:ea typeface="+mn-ea"/>
              <a:cs typeface="+mn-cs"/>
            </a:rPr>
            <a:t>T2_Angagement Analysis</a:t>
          </a:r>
          <a:endParaRPr lang="en-US" sz="1600" b="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chemeClr val="tx1"/>
              </a:solidFill>
              <a:effectLst/>
              <a:latin typeface="+mn-lt"/>
              <a:ea typeface="+mn-ea"/>
              <a:cs typeface="+mn-cs"/>
            </a:rPr>
            <a:t>	Task 3 - </a:t>
          </a:r>
          <a:r>
            <a:rPr lang="en-US" sz="1600" b="0">
              <a:solidFill>
                <a:schemeClr val="tx1"/>
              </a:solidFill>
              <a:effectLst/>
              <a:latin typeface="+mn-lt"/>
              <a:ea typeface="+mn-ea"/>
              <a:cs typeface="+mn-cs"/>
            </a:rPr>
            <a:t>T3_Platform_Analysis</a:t>
          </a:r>
          <a:endParaRPr lang="en-US" sz="1600" b="0">
            <a:effectLst/>
          </a:endParaRPr>
        </a:p>
        <a:p>
          <a:r>
            <a:rPr lang="en-US" sz="2000" b="1">
              <a:solidFill>
                <a:schemeClr val="tx1"/>
              </a:solidFill>
              <a:effectLst/>
              <a:latin typeface="+mn-lt"/>
              <a:ea typeface="+mn-ea"/>
              <a:cs typeface="+mn-cs"/>
            </a:rPr>
            <a:t>	Task 4 - </a:t>
          </a:r>
          <a:r>
            <a:rPr lang="en-US" sz="1600" b="0">
              <a:solidFill>
                <a:schemeClr val="tx1"/>
              </a:solidFill>
              <a:effectLst/>
              <a:latin typeface="+mn-lt"/>
              <a:ea typeface="+mn-ea"/>
              <a:cs typeface="+mn-cs"/>
            </a:rPr>
            <a:t>T4_Hashtag &amp; Content Strategy</a:t>
          </a:r>
          <a:br>
            <a:rPr lang="en-US" sz="2000" b="1">
              <a:solidFill>
                <a:schemeClr val="tx1"/>
              </a:solidFill>
              <a:effectLst/>
              <a:latin typeface="+mn-lt"/>
              <a:ea typeface="+mn-ea"/>
              <a:cs typeface="+mn-cs"/>
            </a:rPr>
          </a:br>
          <a:r>
            <a:rPr lang="en-US" sz="2000" b="1">
              <a:solidFill>
                <a:schemeClr val="tx1"/>
              </a:solidFill>
              <a:effectLst/>
              <a:latin typeface="+mn-lt"/>
              <a:ea typeface="+mn-ea"/>
              <a:cs typeface="+mn-cs"/>
            </a:rPr>
            <a:t>	Task 5 - </a:t>
          </a:r>
          <a:r>
            <a:rPr lang="en-US" sz="1600" b="0">
              <a:solidFill>
                <a:schemeClr val="tx1"/>
              </a:solidFill>
              <a:effectLst/>
              <a:latin typeface="+mn-lt"/>
              <a:ea typeface="+mn-ea"/>
              <a:cs typeface="+mn-cs"/>
            </a:rPr>
            <a:t>T5_Campaign_Effectiveness</a:t>
          </a:r>
          <a:br>
            <a:rPr lang="en-US" sz="2000" b="1">
              <a:solidFill>
                <a:schemeClr val="tx1"/>
              </a:solidFill>
              <a:effectLst/>
              <a:latin typeface="+mn-lt"/>
              <a:ea typeface="+mn-ea"/>
              <a:cs typeface="+mn-cs"/>
            </a:rPr>
          </a:br>
          <a:r>
            <a:rPr lang="en-US" sz="2000" b="1">
              <a:solidFill>
                <a:schemeClr val="tx1"/>
              </a:solidFill>
              <a:effectLst/>
              <a:latin typeface="+mn-lt"/>
              <a:ea typeface="+mn-ea"/>
              <a:cs typeface="+mn-cs"/>
            </a:rPr>
            <a:t>	Task 6 - </a:t>
          </a:r>
          <a:r>
            <a:rPr lang="en-US" sz="1600" b="0">
              <a:solidFill>
                <a:schemeClr val="tx1"/>
              </a:solidFill>
              <a:effectLst/>
              <a:latin typeface="+mn-lt"/>
              <a:ea typeface="+mn-ea"/>
              <a:cs typeface="+mn-cs"/>
            </a:rPr>
            <a:t>T6_Follower retention &amp; Loyalty</a:t>
          </a:r>
          <a:br>
            <a:rPr lang="en-US" sz="2000" b="1">
              <a:solidFill>
                <a:schemeClr val="tx1"/>
              </a:solidFill>
              <a:effectLst/>
              <a:latin typeface="+mn-lt"/>
              <a:ea typeface="+mn-ea"/>
              <a:cs typeface="+mn-cs"/>
            </a:rPr>
          </a:br>
          <a:r>
            <a:rPr lang="en-US" sz="2000" b="1">
              <a:solidFill>
                <a:schemeClr val="tx1"/>
              </a:solidFill>
              <a:effectLst/>
              <a:latin typeface="+mn-lt"/>
              <a:ea typeface="+mn-ea"/>
              <a:cs typeface="+mn-cs"/>
            </a:rPr>
            <a:t>	Task 7 - </a:t>
          </a:r>
          <a:r>
            <a:rPr lang="en-US" sz="1600" b="0">
              <a:solidFill>
                <a:schemeClr val="tx1"/>
              </a:solidFill>
              <a:effectLst/>
              <a:latin typeface="+mn-lt"/>
              <a:ea typeface="+mn-ea"/>
              <a:cs typeface="+mn-cs"/>
            </a:rPr>
            <a:t>T7_Summary_Video</a:t>
          </a:r>
          <a:br>
            <a:rPr lang="en-US" sz="1600" b="0">
              <a:solidFill>
                <a:schemeClr val="tx1"/>
              </a:solidFill>
              <a:effectLst/>
              <a:latin typeface="+mn-lt"/>
              <a:ea typeface="+mn-ea"/>
              <a:cs typeface="+mn-cs"/>
            </a:rPr>
          </a:br>
          <a:br>
            <a:rPr lang="en-US" sz="1600" b="0">
              <a:solidFill>
                <a:schemeClr val="tx1"/>
              </a:solidFill>
              <a:effectLst/>
              <a:latin typeface="+mn-lt"/>
              <a:ea typeface="+mn-ea"/>
              <a:cs typeface="+mn-cs"/>
            </a:rPr>
          </a:br>
          <a:br>
            <a:rPr lang="en-US" sz="1600" b="0">
              <a:solidFill>
                <a:schemeClr val="tx1"/>
              </a:solidFill>
              <a:effectLst/>
              <a:latin typeface="+mn-lt"/>
              <a:ea typeface="+mn-ea"/>
              <a:cs typeface="+mn-cs"/>
            </a:rPr>
          </a:br>
          <a:r>
            <a:rPr lang="en-US" sz="1600" b="1">
              <a:solidFill>
                <a:schemeClr val="tx1"/>
              </a:solidFill>
              <a:effectLst/>
              <a:latin typeface="+mn-lt"/>
              <a:ea typeface="+mn-ea"/>
              <a:cs typeface="+mn-cs"/>
            </a:rPr>
            <a:t>Note :</a:t>
          </a:r>
          <a:r>
            <a:rPr lang="en-US" sz="1600" b="0">
              <a:solidFill>
                <a:schemeClr val="tx1"/>
              </a:solidFill>
              <a:effectLst/>
              <a:latin typeface="+mn-lt"/>
              <a:ea typeface="+mn-ea"/>
              <a:cs typeface="+mn-cs"/>
            </a:rPr>
            <a:t> </a:t>
          </a:r>
          <a:r>
            <a:rPr lang="en-US" sz="1600" b="1">
              <a:solidFill>
                <a:schemeClr val="tx1"/>
              </a:solidFill>
              <a:effectLst/>
              <a:latin typeface="+mn-lt"/>
              <a:ea typeface="+mn-ea"/>
              <a:cs typeface="+mn-cs"/>
            </a:rPr>
            <a:t>Other sheets are for the</a:t>
          </a:r>
          <a:r>
            <a:rPr lang="en-US" sz="1600" b="1" baseline="0">
              <a:solidFill>
                <a:schemeClr val="tx1"/>
              </a:solidFill>
              <a:effectLst/>
              <a:latin typeface="+mn-lt"/>
              <a:ea typeface="+mn-ea"/>
              <a:cs typeface="+mn-cs"/>
            </a:rPr>
            <a:t> </a:t>
          </a:r>
          <a:r>
            <a:rPr lang="en-US" sz="1600" b="1">
              <a:solidFill>
                <a:schemeClr val="tx1"/>
              </a:solidFill>
              <a:effectLst/>
              <a:latin typeface="+mn-lt"/>
              <a:ea typeface="+mn-ea"/>
              <a:cs typeface="+mn-cs"/>
            </a:rPr>
            <a:t>convinience to make the analysis</a:t>
          </a:r>
          <a:r>
            <a:rPr lang="en-US" sz="1600" b="1" baseline="0">
              <a:solidFill>
                <a:schemeClr val="tx1"/>
              </a:solidFill>
              <a:effectLst/>
              <a:latin typeface="+mn-lt"/>
              <a:ea typeface="+mn-ea"/>
              <a:cs typeface="+mn-cs"/>
            </a:rPr>
            <a:t> </a:t>
          </a:r>
          <a:r>
            <a:rPr kumimoji="0" lang="en-US" sz="1600" b="1" i="0" u="none" strike="noStrike" kern="0" cap="none" spc="0" normalizeH="0" baseline="0" noProof="0">
              <a:ln>
                <a:noFill/>
              </a:ln>
              <a:solidFill>
                <a:srgbClr val="000000"/>
              </a:solidFill>
              <a:effectLst/>
              <a:uLnTx/>
              <a:uFillTx/>
              <a:latin typeface="+mn-lt"/>
              <a:ea typeface="+mn-ea"/>
              <a:cs typeface="+mn-cs"/>
            </a:rPr>
            <a:t>work </a:t>
          </a:r>
          <a:r>
            <a:rPr lang="en-US" sz="1600" b="1" baseline="0">
              <a:solidFill>
                <a:schemeClr val="tx1"/>
              </a:solidFill>
              <a:effectLst/>
              <a:latin typeface="+mn-lt"/>
              <a:ea typeface="+mn-ea"/>
              <a:cs typeface="+mn-cs"/>
            </a:rPr>
            <a:t>easy</a:t>
          </a:r>
          <a:r>
            <a:rPr lang="en-US" sz="1600" b="1">
              <a:solidFill>
                <a:schemeClr val="tx1"/>
              </a:solidFill>
              <a:effectLst/>
              <a:latin typeface="+mn-lt"/>
              <a:ea typeface="+mn-ea"/>
              <a:cs typeface="+mn-cs"/>
            </a:rPr>
            <a:t>.</a:t>
          </a:r>
          <a:endParaRPr lang="en-US" sz="2000" b="1">
            <a:solidFill>
              <a:srgbClr val="00B050"/>
            </a:solidFill>
            <a:effectLst/>
          </a:endParaRPr>
        </a:p>
      </xdr:txBody>
    </xdr:sp>
    <xdr:clientData/>
  </xdr:oneCellAnchor>
  <xdr:oneCellAnchor>
    <xdr:from>
      <xdr:col>2</xdr:col>
      <xdr:colOff>546846</xdr:colOff>
      <xdr:row>21</xdr:row>
      <xdr:rowOff>26893</xdr:rowOff>
    </xdr:from>
    <xdr:ext cx="10775577" cy="9359806"/>
    <xdr:sp macro="" textlink="">
      <xdr:nvSpPr>
        <xdr:cNvPr id="4" name="TextBox 3">
          <a:extLst>
            <a:ext uri="{FF2B5EF4-FFF2-40B4-BE49-F238E27FC236}">
              <a16:creationId xmlns:a16="http://schemas.microsoft.com/office/drawing/2014/main" id="{0FF09060-49B6-441F-A235-1866C1F15F00}"/>
            </a:ext>
          </a:extLst>
        </xdr:cNvPr>
        <xdr:cNvSpPr txBox="1"/>
      </xdr:nvSpPr>
      <xdr:spPr>
        <a:xfrm>
          <a:off x="5513293" y="4634752"/>
          <a:ext cx="10775577" cy="93598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800" b="1">
              <a:solidFill>
                <a:schemeClr val="accent2"/>
              </a:solidFill>
            </a:rPr>
            <a:t>TASK</a:t>
          </a:r>
          <a:r>
            <a:rPr lang="en-US" sz="1800" b="1" baseline="0">
              <a:solidFill>
                <a:schemeClr val="accent2"/>
              </a:solidFill>
            </a:rPr>
            <a:t> Description :</a:t>
          </a:r>
          <a:endParaRPr lang="en-US" sz="1400" b="1" baseline="0">
            <a:solidFill>
              <a:schemeClr val="accent2"/>
            </a:solidFill>
          </a:endParaRPr>
        </a:p>
        <a:p>
          <a:pPr algn="l"/>
          <a:endParaRPr lang="en-US" sz="1400" b="1" baseline="0">
            <a:solidFill>
              <a:schemeClr val="accent2"/>
            </a:solidFill>
          </a:endParaRPr>
        </a:p>
        <a:p>
          <a:pPr algn="l"/>
          <a:r>
            <a:rPr lang="en-US" sz="1400" b="1"/>
            <a:t>Task 1: Data Preprocessing &amp; Cleaning (12 Marks) </a:t>
          </a:r>
        </a:p>
        <a:p>
          <a:pPr algn="l"/>
          <a:r>
            <a:rPr lang="en-US" sz="1400"/>
            <a:t>● Remove duplicate post entries. </a:t>
          </a:r>
        </a:p>
        <a:p>
          <a:pPr algn="l"/>
          <a:r>
            <a:rPr lang="en-US" sz="1400"/>
            <a:t>● Standardize date formats and platform naming conventions. </a:t>
          </a:r>
        </a:p>
        <a:p>
          <a:pPr algn="l"/>
          <a:r>
            <a:rPr lang="en-US" sz="1400"/>
            <a:t>● Ensure numeric fields (Likes, Impressions, Ad Spend, Followers) have correct formatting. </a:t>
          </a:r>
        </a:p>
        <a:p>
          <a:pPr algn="l"/>
          <a:r>
            <a:rPr lang="en-US" sz="1400"/>
            <a:t>● Split hashtags into individual tags. </a:t>
          </a:r>
        </a:p>
        <a:p>
          <a:pPr algn="l"/>
          <a:endParaRPr lang="en-US" sz="1400"/>
        </a:p>
        <a:p>
          <a:pPr algn="l"/>
          <a:r>
            <a:rPr lang="en-US" sz="1400" b="1"/>
            <a:t>Task 2: Engagement Analysis (8 Marks) </a:t>
          </a:r>
        </a:p>
        <a:p>
          <a:pPr algn="l"/>
          <a:r>
            <a:rPr lang="en-US" sz="1400"/>
            <a:t>Using the Posts Dataset: </a:t>
          </a:r>
        </a:p>
        <a:p>
          <a:pPr algn="l"/>
          <a:r>
            <a:rPr lang="en-US" sz="1400"/>
            <a:t>● Calculate average engagement rate per platform: Engagement Rate = (Likes + Shares + Comments) / Impressions </a:t>
          </a:r>
        </a:p>
        <a:p>
          <a:pPr algn="l"/>
          <a:r>
            <a:rPr lang="en-US" sz="1400"/>
            <a:t>● Identify Top 10 Myntra posts with highest engagement. </a:t>
          </a:r>
        </a:p>
        <a:p>
          <a:pPr algn="l"/>
          <a:r>
            <a:rPr lang="en-US" sz="1400"/>
            <a:t>● Create a pivot table showing: </a:t>
          </a:r>
        </a:p>
        <a:p>
          <a:pPr algn="l"/>
          <a:r>
            <a:rPr lang="en-US" sz="1400"/>
            <a:t>	○ Total Likes, Shares, Comments by Content Type &amp; Platform </a:t>
          </a:r>
        </a:p>
        <a:p>
          <a:pPr algn="l"/>
          <a:r>
            <a:rPr lang="en-US" sz="1400"/>
            <a:t>	○ Average Clicks per post by Hashtag </a:t>
          </a:r>
        </a:p>
        <a:p>
          <a:pPr algn="l"/>
          <a:r>
            <a:rPr lang="en-US" sz="1400"/>
            <a:t>● Highlight top-performing hashtags (#FashionDeals, #MyntraTrend,#MyntraTrend, etc.). </a:t>
          </a:r>
        </a:p>
        <a:p>
          <a:pPr algn="l"/>
          <a:endParaRPr lang="en-US" sz="1400"/>
        </a:p>
        <a:p>
          <a:pPr algn="l"/>
          <a:r>
            <a:rPr lang="en-US" sz="1400" b="1"/>
            <a:t>Task 3: Platform Analysis (12 Marks)</a:t>
          </a:r>
          <a:r>
            <a:rPr lang="en-US" sz="1400"/>
            <a:t> </a:t>
          </a:r>
        </a:p>
        <a:p>
          <a:pPr algn="l"/>
          <a:r>
            <a:rPr lang="en-US" sz="1400"/>
            <a:t>● Identify the platform with highest engagement (e.g., Twitter for announcements vs. YouTube for product demos). </a:t>
          </a:r>
        </a:p>
        <a:p>
          <a:pPr algn="l"/>
          <a:r>
            <a:rPr lang="en-US" sz="1400"/>
            <a:t>● Compare follower growth rates across platforms. </a:t>
          </a:r>
        </a:p>
        <a:p>
          <a:pPr algn="l"/>
          <a:r>
            <a:rPr lang="en-US" sz="1400"/>
            <a:t>● Visualize Engagement vs. Ad Spend per platform. </a:t>
          </a:r>
        </a:p>
        <a:p>
          <a:pPr algn="l"/>
          <a:r>
            <a:rPr lang="en-US" sz="1400"/>
            <a:t>● Advise: Should Myntra focus on Twitter + YouTube (product announcements + demos) or maintain a multi-platform strategy? </a:t>
          </a:r>
        </a:p>
        <a:p>
          <a:pPr algn="l"/>
          <a:endParaRPr lang="en-US" sz="1400"/>
        </a:p>
        <a:p>
          <a:pPr algn="l"/>
          <a:r>
            <a:rPr lang="en-US" sz="1400" b="1"/>
            <a:t>Task 4: Hashtag &amp; Content Strategy (16 Marks) </a:t>
          </a:r>
        </a:p>
        <a:p>
          <a:pPr algn="l"/>
          <a:r>
            <a:rPr lang="en-US" sz="1400"/>
            <a:t>● Identify most frequently used Myntra hashtags. </a:t>
          </a:r>
        </a:p>
        <a:p>
          <a:pPr algn="l"/>
          <a:r>
            <a:rPr lang="en-US" sz="1400"/>
            <a:t>● Compare average performance of posts containing each hashtag. </a:t>
          </a:r>
        </a:p>
        <a:p>
          <a:pPr algn="l"/>
          <a:r>
            <a:rPr lang="en-US" sz="1400"/>
            <a:t>● Compare content performance: </a:t>
          </a:r>
        </a:p>
        <a:p>
          <a:pPr algn="l"/>
          <a:r>
            <a:rPr lang="en-US" sz="1400"/>
            <a:t>	○ Videos ○ Images ○ Carousels </a:t>
          </a:r>
        </a:p>
        <a:p>
          <a:pPr algn="l"/>
          <a:r>
            <a:rPr lang="en-US" sz="1400"/>
            <a:t>● Recommend content type priorities per platform (e.g., videos on YouTube, Wearables images on Instagram). </a:t>
          </a:r>
        </a:p>
        <a:p>
          <a:pPr algn="l"/>
          <a:endParaRPr lang="en-US" sz="1400"/>
        </a:p>
        <a:p>
          <a:pPr algn="l"/>
          <a:r>
            <a:rPr lang="en-US" sz="1400" b="1"/>
            <a:t>Task 5: Campaign Effectiveness (16 Marks) </a:t>
          </a:r>
        </a:p>
        <a:p>
          <a:pPr algn="l"/>
          <a:r>
            <a:rPr lang="en-US" sz="1400"/>
            <a:t>● Calculate: </a:t>
          </a:r>
        </a:p>
        <a:p>
          <a:pPr algn="l"/>
          <a:r>
            <a:rPr lang="en-US" sz="1400"/>
            <a:t>	○ Total &amp; Average Impressions, Likes, Clicks per Campaign. </a:t>
          </a:r>
        </a:p>
        <a:p>
          <a:pPr algn="l"/>
          <a:r>
            <a:rPr lang="en-US" sz="1400"/>
            <a:t>	○ Engagement uplift during vs. before campaigns (e.gFashionUpgrade). </a:t>
          </a:r>
        </a:p>
        <a:p>
          <a:pPr algn="l"/>
          <a:r>
            <a:rPr lang="en-US" sz="1400"/>
            <a:t>● Insights: ○ Which campaign had the highest ROI (engagement vs. spend)? </a:t>
          </a:r>
        </a:p>
        <a:p>
          <a:pPr algn="l"/>
          <a:r>
            <a:rPr lang="en-US" sz="1400"/>
            <a:t>	○ Which campaign drove the strongest follower growth? </a:t>
          </a:r>
        </a:p>
        <a:p>
          <a:pPr algn="l"/>
          <a:endParaRPr lang="en-US" sz="1400"/>
        </a:p>
        <a:p>
          <a:pPr algn="l"/>
          <a:r>
            <a:rPr lang="en-US" sz="1400" b="1"/>
            <a:t>Task 6: Follower Retention &amp; Loyalty (16 Marks)</a:t>
          </a:r>
          <a:r>
            <a:rPr lang="en-US" sz="1400"/>
            <a:t> </a:t>
          </a:r>
        </a:p>
        <a:p>
          <a:pPr algn="l"/>
          <a:r>
            <a:rPr lang="en-US" sz="1400"/>
            <a:t>● Visualize weekly follower growth per platform (line chart). </a:t>
          </a:r>
        </a:p>
        <a:p>
          <a:pPr algn="l"/>
          <a:r>
            <a:rPr lang="en-US" sz="1400"/>
            <a:t>● Identify the peak week of follower gain. </a:t>
          </a:r>
        </a:p>
        <a:p>
          <a:pPr algn="l"/>
          <a:r>
            <a:rPr lang="en-US" sz="1400"/>
            <a:t>● Use moving averages to smooth growth trends. </a:t>
          </a:r>
        </a:p>
        <a:p>
          <a:pPr algn="l"/>
          <a:r>
            <a:rPr lang="en-US" sz="1400"/>
            <a:t>● Correlate ad spend vs. follower growth using scatter plots. </a:t>
          </a:r>
          <a:endParaRPr lang="en-US" sz="1400" b="1">
            <a:solidFill>
              <a:srgbClr val="00B050"/>
            </a:solidFill>
            <a:effectLst/>
          </a:endParaRPr>
        </a:p>
      </xdr:txBody>
    </xdr:sp>
    <xdr:clientData/>
  </xdr:oneCellAnchor>
  <xdr:oneCellAnchor>
    <xdr:from>
      <xdr:col>2</xdr:col>
      <xdr:colOff>600635</xdr:colOff>
      <xdr:row>1</xdr:row>
      <xdr:rowOff>170328</xdr:rowOff>
    </xdr:from>
    <xdr:ext cx="11071411" cy="3818096"/>
    <xdr:sp macro="" textlink="">
      <xdr:nvSpPr>
        <xdr:cNvPr id="7" name="TextBox 6">
          <a:extLst>
            <a:ext uri="{FF2B5EF4-FFF2-40B4-BE49-F238E27FC236}">
              <a16:creationId xmlns:a16="http://schemas.microsoft.com/office/drawing/2014/main" id="{33CA88CC-1C64-4C88-B054-9F58294403F4}"/>
            </a:ext>
          </a:extLst>
        </xdr:cNvPr>
        <xdr:cNvSpPr txBox="1"/>
      </xdr:nvSpPr>
      <xdr:spPr>
        <a:xfrm>
          <a:off x="5567082" y="627528"/>
          <a:ext cx="11071411" cy="3818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400" b="1"/>
            <a:t>1. Posts Dataset </a:t>
          </a:r>
        </a:p>
        <a:p>
          <a:pPr algn="l"/>
          <a:r>
            <a:rPr lang="en-US" sz="1400"/>
            <a:t>○ Contains individual Myntra posts across social media platforms. </a:t>
          </a:r>
        </a:p>
        <a:p>
          <a:pPr algn="l"/>
          <a:r>
            <a:rPr lang="en-US" sz="1400"/>
            <a:t>○ Used for content performance analysis, engagement tracking, and campaign effectiveness evaluation. </a:t>
          </a:r>
        </a:p>
        <a:p>
          <a:pPr algn="l"/>
          <a:r>
            <a:rPr lang="en-US" sz="1400"/>
            <a:t>○ Example fields: Post_ID, Platform, Date, Content_Type (Reel, Text, Story, Carousel, Image, Video), Post_Text, Likes, Shares, Comments, Impressions, Reach, Clicks, Hashtags_Used, Campaign_Name.</a:t>
          </a:r>
        </a:p>
        <a:p>
          <a:pPr algn="l"/>
          <a:r>
            <a:rPr lang="en-US" sz="1400"/>
            <a:t> </a:t>
          </a:r>
        </a:p>
        <a:p>
          <a:pPr algn="l"/>
          <a:r>
            <a:rPr lang="en-US" sz="1400" b="1"/>
            <a:t>2. Engagement Summary Dataset </a:t>
          </a:r>
        </a:p>
        <a:p>
          <a:pPr algn="l"/>
          <a:r>
            <a:rPr lang="en-US" sz="1400"/>
            <a:t>○ Aggregated weekly/monthly dataset tracking platform-level performance metrics. </a:t>
          </a:r>
        </a:p>
        <a:p>
          <a:pPr algn="l"/>
          <a:r>
            <a:rPr lang="en-US" sz="1400"/>
            <a:t>○ Helps evaluate engagement trends, content type effectiveness, and cross-platform comparison. </a:t>
          </a:r>
        </a:p>
        <a:p>
          <a:pPr algn="l"/>
          <a:r>
            <a:rPr lang="en-US" sz="1400"/>
            <a:t>○ Example fields: Week/Month, Platform, Total_Posts, Avg_Likes, Avg_Shares, Avg_Comments, Total_Impressions, Total_Reach, Total_Clicks, Engagement_Rate. </a:t>
          </a:r>
        </a:p>
        <a:p>
          <a:pPr algn="l"/>
          <a:endParaRPr lang="en-US" sz="1400"/>
        </a:p>
        <a:p>
          <a:pPr algn="l"/>
          <a:r>
            <a:rPr lang="en-US" sz="1400" b="1"/>
            <a:t>3. Campaign Metadata Dataset </a:t>
          </a:r>
        </a:p>
        <a:p>
          <a:pPr algn="l"/>
          <a:r>
            <a:rPr lang="en-US" sz="1400"/>
            <a:t>○ Information about Myntra campaigns (e.g., FashionUpgrade, EndOfSeasonSale, MyntraFestiveEdit, StyleRevolution, StyleWithMyntra). </a:t>
          </a:r>
        </a:p>
        <a:p>
          <a:pPr algn="l"/>
          <a:r>
            <a:rPr lang="en-US" sz="1400"/>
            <a:t>○ Tracks campaign objectives, duration, total posts, aggregate engagement, impressions, reach, and performance uplift. </a:t>
          </a:r>
        </a:p>
        <a:p>
          <a:pPr algn="l"/>
          <a:r>
            <a:rPr lang="en-US" sz="1400"/>
            <a:t>○ Example fields: Campaign_Name, Start_Date, End_Date, Total_Posts, Platforms_Used, Total_Impressions, Total_Engagement, Campaign_Goal, ROI_Metrics </a:t>
          </a:r>
          <a:endParaRPr lang="en-US" sz="1400" b="1">
            <a:solidFill>
              <a:srgbClr val="00B050"/>
            </a:solidFill>
            <a:effectLst/>
          </a:endParaRPr>
        </a:p>
      </xdr:txBody>
    </xdr:sp>
    <xdr:clientData/>
  </xdr:oneCellAnchor>
  <xdr:oneCellAnchor>
    <xdr:from>
      <xdr:col>2</xdr:col>
      <xdr:colOff>573743</xdr:colOff>
      <xdr:row>0</xdr:row>
      <xdr:rowOff>170330</xdr:rowOff>
    </xdr:from>
    <xdr:ext cx="10650070" cy="374141"/>
    <xdr:sp macro="" textlink="">
      <xdr:nvSpPr>
        <xdr:cNvPr id="8" name="TextBox 7">
          <a:hlinkClick xmlns:r="http://schemas.openxmlformats.org/officeDocument/2006/relationships" r:id="rId1"/>
          <a:extLst>
            <a:ext uri="{FF2B5EF4-FFF2-40B4-BE49-F238E27FC236}">
              <a16:creationId xmlns:a16="http://schemas.microsoft.com/office/drawing/2014/main" id="{4CF5A7DB-485A-4E07-A2B0-3853D55F342B}"/>
            </a:ext>
          </a:extLst>
        </xdr:cNvPr>
        <xdr:cNvSpPr txBox="1"/>
      </xdr:nvSpPr>
      <xdr:spPr>
        <a:xfrm>
          <a:off x="5540190" y="170330"/>
          <a:ext cx="1065007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buNone/>
          </a:pPr>
          <a:r>
            <a:rPr lang="en-US" sz="1800" b="1">
              <a:solidFill>
                <a:srgbClr val="000000"/>
              </a:solidFill>
              <a:effectLst/>
              <a:latin typeface="Calibri" panose="020F0502020204030204" pitchFamily="34" charset="0"/>
              <a:ea typeface="Calibri" panose="020F0502020204030204" pitchFamily="34" charset="0"/>
              <a:cs typeface="Calibri" panose="020F0502020204030204" pitchFamily="34" charset="0"/>
            </a:rPr>
            <a:t>Dataset Description: </a:t>
          </a:r>
          <a:r>
            <a:rPr lang="en-US" sz="1800" b="1">
              <a:solidFill>
                <a:srgbClr val="C0504D"/>
              </a:solidFill>
              <a:effectLst/>
              <a:latin typeface="Calibri" panose="020F0502020204030204" pitchFamily="34" charset="0"/>
              <a:ea typeface="Calibri" panose="020F0502020204030204" pitchFamily="34" charset="0"/>
              <a:cs typeface="Calibri" panose="020F0502020204030204" pitchFamily="34" charset="0"/>
            </a:rPr>
            <a:t>Myntra Marketing Dataset (right</a:t>
          </a:r>
          <a:r>
            <a:rPr lang="en-US" sz="1800" b="1" baseline="0">
              <a:solidFill>
                <a:srgbClr val="C0504D"/>
              </a:solidFill>
              <a:effectLst/>
              <a:latin typeface="Calibri" panose="020F0502020204030204" pitchFamily="34" charset="0"/>
              <a:ea typeface="Calibri" panose="020F0502020204030204" pitchFamily="34" charset="0"/>
              <a:cs typeface="Calibri" panose="020F0502020204030204" pitchFamily="34" charset="0"/>
            </a:rPr>
            <a:t> click and open the link to download fresh raw dataset)</a:t>
          </a:r>
          <a:endParaRPr lang="en-US" sz="1800">
            <a:effectLst/>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7</xdr:col>
      <xdr:colOff>128644</xdr:colOff>
      <xdr:row>23</xdr:row>
      <xdr:rowOff>448</xdr:rowOff>
    </xdr:from>
    <xdr:to>
      <xdr:col>11</xdr:col>
      <xdr:colOff>205740</xdr:colOff>
      <xdr:row>37</xdr:row>
      <xdr:rowOff>167640</xdr:rowOff>
    </xdr:to>
    <xdr:graphicFrame macro="">
      <xdr:nvGraphicFramePr>
        <xdr:cNvPr id="2" name="Chart 1">
          <a:extLst>
            <a:ext uri="{FF2B5EF4-FFF2-40B4-BE49-F238E27FC236}">
              <a16:creationId xmlns:a16="http://schemas.microsoft.com/office/drawing/2014/main" id="{7C6A1023-99D9-0ABA-AF24-1AB38F616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41558</xdr:colOff>
      <xdr:row>102</xdr:row>
      <xdr:rowOff>26894</xdr:rowOff>
    </xdr:from>
    <xdr:to>
      <xdr:col>16</xdr:col>
      <xdr:colOff>53340</xdr:colOff>
      <xdr:row>121</xdr:row>
      <xdr:rowOff>175260</xdr:rowOff>
    </xdr:to>
    <xdr:graphicFrame macro="">
      <xdr:nvGraphicFramePr>
        <xdr:cNvPr id="3" name="Chart 2">
          <a:extLst>
            <a:ext uri="{FF2B5EF4-FFF2-40B4-BE49-F238E27FC236}">
              <a16:creationId xmlns:a16="http://schemas.microsoft.com/office/drawing/2014/main" id="{48F4774B-906E-1037-BCE5-B16119194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263435</xdr:colOff>
      <xdr:row>8</xdr:row>
      <xdr:rowOff>158931</xdr:rowOff>
    </xdr:from>
    <xdr:ext cx="5268685" cy="1250599"/>
    <xdr:sp macro="" textlink="">
      <xdr:nvSpPr>
        <xdr:cNvPr id="6" name="TextBox 5">
          <a:extLst>
            <a:ext uri="{FF2B5EF4-FFF2-40B4-BE49-F238E27FC236}">
              <a16:creationId xmlns:a16="http://schemas.microsoft.com/office/drawing/2014/main" id="{0381E866-0903-6FD9-05D1-9FCE31A4FD50}"/>
            </a:ext>
          </a:extLst>
        </xdr:cNvPr>
        <xdr:cNvSpPr txBox="1"/>
      </xdr:nvSpPr>
      <xdr:spPr>
        <a:xfrm>
          <a:off x="5970815" y="608511"/>
          <a:ext cx="5268685" cy="1250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endParaRPr lang="en-US" sz="1100">
            <a:solidFill>
              <a:srgbClr val="00B050"/>
            </a:solidFill>
          </a:endParaRPr>
        </a:p>
        <a:p>
          <a:r>
            <a:rPr lang="en-US" sz="1000" b="1">
              <a:solidFill>
                <a:srgbClr val="00B050"/>
              </a:solidFill>
            </a:rPr>
            <a:t>@</a:t>
          </a:r>
          <a:r>
            <a:rPr lang="en-US" sz="1000">
              <a:solidFill>
                <a:srgbClr val="00B050"/>
              </a:solidFill>
            </a:rPr>
            <a:t> Instagram leads with the highest average engagement rate (18.38%), confirming its strength for in</a:t>
          </a:r>
          <a:r>
            <a:rPr lang="en-US" sz="1000" baseline="0">
              <a:solidFill>
                <a:srgbClr val="00B050"/>
              </a:solidFill>
            </a:rPr>
            <a:t> </a:t>
          </a:r>
          <a:r>
            <a:rPr lang="en-US" sz="1000">
              <a:solidFill>
                <a:srgbClr val="00B050"/>
              </a:solidFill>
            </a:rPr>
            <a:t>teractive content.</a:t>
          </a:r>
        </a:p>
        <a:p>
          <a:r>
            <a:rPr lang="en-US" sz="1000" b="1">
              <a:solidFill>
                <a:srgbClr val="00B050"/>
              </a:solidFill>
            </a:rPr>
            <a:t>@</a:t>
          </a:r>
          <a:r>
            <a:rPr lang="en-US" sz="1000">
              <a:solidFill>
                <a:srgbClr val="00B050"/>
              </a:solidFill>
            </a:rPr>
            <a:t> Twitter and YouTube are close (14.51% and 13.37%), showing moderate engagement potential.</a:t>
          </a:r>
        </a:p>
        <a:p>
          <a:r>
            <a:rPr lang="en-US" sz="1000" b="1">
              <a:solidFill>
                <a:srgbClr val="00B050"/>
              </a:solidFill>
            </a:rPr>
            <a:t>@</a:t>
          </a:r>
          <a:r>
            <a:rPr lang="en-US" sz="1000">
              <a:solidFill>
                <a:srgbClr val="00B050"/>
              </a:solidFill>
            </a:rPr>
            <a:t> Facebook trails slightly at 12.37%, suggesting it may need more targeted content to compete.</a:t>
          </a:r>
        </a:p>
        <a:p>
          <a:r>
            <a:rPr lang="en-US" sz="1000">
              <a:solidFill>
                <a:srgbClr val="00B050"/>
              </a:solidFill>
            </a:rPr>
            <a:t>- Unweighted average (14.66%) gives a fair benchmark across </a:t>
          </a:r>
          <a:r>
            <a:rPr lang="en-US" sz="1000">
              <a:solidFill>
                <a:srgbClr val="00B050"/>
              </a:solidFill>
              <a:latin typeface="+mn-lt"/>
              <a:ea typeface="+mn-ea"/>
              <a:cs typeface="+mn-cs"/>
            </a:rPr>
            <a:t>platforms</a:t>
          </a:r>
          <a:r>
            <a:rPr lang="en-US" sz="1000">
              <a:solidFill>
                <a:srgbClr val="00B050"/>
              </a:solidFill>
            </a:rPr>
            <a:t>, avoiding bias from post volume.</a:t>
          </a:r>
        </a:p>
      </xdr:txBody>
    </xdr:sp>
    <xdr:clientData/>
  </xdr:oneCellAnchor>
  <xdr:oneCellAnchor>
    <xdr:from>
      <xdr:col>11</xdr:col>
      <xdr:colOff>350521</xdr:colOff>
      <xdr:row>22</xdr:row>
      <xdr:rowOff>121920</xdr:rowOff>
    </xdr:from>
    <xdr:ext cx="2468879" cy="2065020"/>
    <xdr:sp macro="" textlink="">
      <xdr:nvSpPr>
        <xdr:cNvPr id="7" name="TextBox 6">
          <a:extLst>
            <a:ext uri="{FF2B5EF4-FFF2-40B4-BE49-F238E27FC236}">
              <a16:creationId xmlns:a16="http://schemas.microsoft.com/office/drawing/2014/main" id="{0D3EE3C8-C3B5-4261-8C2C-8A57EF767F80}"/>
            </a:ext>
          </a:extLst>
        </xdr:cNvPr>
        <xdr:cNvSpPr txBox="1"/>
      </xdr:nvSpPr>
      <xdr:spPr>
        <a:xfrm>
          <a:off x="8717281" y="2849880"/>
          <a:ext cx="2468879" cy="20650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tx1"/>
              </a:solidFill>
            </a:rPr>
            <a:t>Insights</a:t>
          </a:r>
          <a:r>
            <a:rPr lang="en-US" sz="1400" b="1" baseline="0">
              <a:solidFill>
                <a:schemeClr val="tx1"/>
              </a:solidFill>
            </a:rPr>
            <a:t> :</a:t>
          </a:r>
          <a:endParaRPr lang="en-US" sz="1100">
            <a:solidFill>
              <a:srgbClr val="00B050"/>
            </a:solidFill>
          </a:endParaRPr>
        </a:p>
        <a:p>
          <a:r>
            <a:rPr lang="en-US" sz="1000" b="1">
              <a:solidFill>
                <a:srgbClr val="00B050"/>
              </a:solidFill>
              <a:effectLst/>
            </a:rPr>
            <a:t>@ Post P220</a:t>
          </a:r>
          <a:r>
            <a:rPr lang="en-US" sz="1000">
              <a:solidFill>
                <a:srgbClr val="00B050"/>
              </a:solidFill>
              <a:effectLst/>
            </a:rPr>
            <a:t> stands out with an exceptional engagement rate (181.29%) — likely viral or highly resonant content.</a:t>
          </a:r>
        </a:p>
        <a:p>
          <a:r>
            <a:rPr lang="en-US" sz="1000" b="1">
              <a:solidFill>
                <a:srgbClr val="00B050"/>
              </a:solidFill>
              <a:effectLst/>
            </a:rPr>
            <a:t>@ </a:t>
          </a:r>
          <a:r>
            <a:rPr lang="en-US" sz="1000">
              <a:solidFill>
                <a:srgbClr val="00B050"/>
              </a:solidFill>
              <a:effectLst/>
            </a:rPr>
            <a:t>Posts like </a:t>
          </a:r>
          <a:r>
            <a:rPr lang="en-US" sz="1000" b="1">
              <a:solidFill>
                <a:srgbClr val="00B050"/>
              </a:solidFill>
              <a:effectLst/>
            </a:rPr>
            <a:t>P058, P232, P178</a:t>
          </a:r>
          <a:r>
            <a:rPr lang="en-US" sz="1000">
              <a:solidFill>
                <a:srgbClr val="00B050"/>
              </a:solidFill>
              <a:effectLst/>
            </a:rPr>
            <a:t> also show strong performance (70–86%), indicating consistent engagement drivers.</a:t>
          </a:r>
        </a:p>
        <a:p>
          <a:r>
            <a:rPr lang="en-US" sz="1100" b="1">
              <a:solidFill>
                <a:srgbClr val="00B050"/>
              </a:solidFill>
              <a:effectLst/>
              <a:latin typeface="+mn-lt"/>
              <a:ea typeface="+mn-ea"/>
              <a:cs typeface="+mn-cs"/>
            </a:rPr>
            <a:t>@</a:t>
          </a:r>
          <a:r>
            <a:rPr lang="en-US" sz="1100" b="1">
              <a:solidFill>
                <a:schemeClr val="tx1"/>
              </a:solidFill>
              <a:effectLst/>
              <a:latin typeface="+mn-lt"/>
              <a:ea typeface="+mn-ea"/>
              <a:cs typeface="+mn-cs"/>
            </a:rPr>
            <a:t> </a:t>
          </a:r>
          <a:r>
            <a:rPr lang="en-US" sz="1000">
              <a:solidFill>
                <a:srgbClr val="00B050"/>
              </a:solidFill>
              <a:effectLst/>
            </a:rPr>
            <a:t>The </a:t>
          </a:r>
          <a:r>
            <a:rPr lang="en-US" sz="1000" b="1">
              <a:solidFill>
                <a:srgbClr val="00B050"/>
              </a:solidFill>
              <a:effectLst/>
            </a:rPr>
            <a:t>Grand Total (68.57%)</a:t>
          </a:r>
          <a:r>
            <a:rPr lang="en-US" sz="1000">
              <a:solidFill>
                <a:srgbClr val="00B050"/>
              </a:solidFill>
              <a:effectLst/>
            </a:rPr>
            <a:t> sets a high-performance benchmark for future content.</a:t>
          </a:r>
        </a:p>
        <a:p>
          <a:r>
            <a:rPr lang="en-US" sz="1000">
              <a:solidFill>
                <a:srgbClr val="00B050"/>
              </a:solidFill>
              <a:effectLst/>
            </a:rPr>
            <a:t>These posts should be analyzed for format, timing, and hashtags to replicate success.</a:t>
          </a:r>
        </a:p>
      </xdr:txBody>
    </xdr:sp>
    <xdr:clientData/>
  </xdr:oneCellAnchor>
  <xdr:oneCellAnchor>
    <xdr:from>
      <xdr:col>9</xdr:col>
      <xdr:colOff>281940</xdr:colOff>
      <xdr:row>47</xdr:row>
      <xdr:rowOff>0</xdr:rowOff>
    </xdr:from>
    <xdr:ext cx="3825240" cy="2019300"/>
    <xdr:sp macro="" textlink="">
      <xdr:nvSpPr>
        <xdr:cNvPr id="8" name="TextBox 7">
          <a:extLst>
            <a:ext uri="{FF2B5EF4-FFF2-40B4-BE49-F238E27FC236}">
              <a16:creationId xmlns:a16="http://schemas.microsoft.com/office/drawing/2014/main" id="{407F1A5A-831D-485D-B50A-D1E3222B613A}"/>
            </a:ext>
          </a:extLst>
        </xdr:cNvPr>
        <xdr:cNvSpPr txBox="1"/>
      </xdr:nvSpPr>
      <xdr:spPr>
        <a:xfrm>
          <a:off x="7170420" y="6957060"/>
          <a:ext cx="3825240" cy="2019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tx1"/>
              </a:solidFill>
            </a:rPr>
            <a:t>Insights</a:t>
          </a:r>
          <a:r>
            <a:rPr lang="en-US" sz="1400" b="1" baseline="0">
              <a:solidFill>
                <a:schemeClr val="tx1"/>
              </a:solidFill>
            </a:rPr>
            <a:t> :</a:t>
          </a:r>
          <a:endParaRPr lang="en-US" sz="1100">
            <a:solidFill>
              <a:srgbClr val="00B050"/>
            </a:solidFill>
          </a:endParaRPr>
        </a:p>
        <a:p>
          <a:r>
            <a:rPr lang="en-US" sz="1000" b="1">
              <a:solidFill>
                <a:srgbClr val="00B050"/>
              </a:solidFill>
              <a:effectLst/>
            </a:rPr>
            <a:t>@ Image and Carousel posts</a:t>
          </a:r>
          <a:r>
            <a:rPr lang="en-US" sz="1000">
              <a:solidFill>
                <a:srgbClr val="00B050"/>
              </a:solidFill>
              <a:effectLst/>
            </a:rPr>
            <a:t> dominate in Likes and Shares across platforms — especially on Facebook and Twitter.</a:t>
          </a:r>
        </a:p>
        <a:p>
          <a:r>
            <a:rPr lang="en-US" sz="1100" b="1">
              <a:solidFill>
                <a:srgbClr val="00B050"/>
              </a:solidFill>
              <a:effectLst/>
              <a:latin typeface="+mn-lt"/>
              <a:ea typeface="+mn-ea"/>
              <a:cs typeface="+mn-cs"/>
            </a:rPr>
            <a:t>@ </a:t>
          </a:r>
          <a:r>
            <a:rPr lang="en-US" sz="1000" b="1">
              <a:solidFill>
                <a:srgbClr val="00B050"/>
              </a:solidFill>
              <a:effectLst/>
            </a:rPr>
            <a:t>Reels and Stories</a:t>
          </a:r>
          <a:r>
            <a:rPr lang="en-US" sz="1000">
              <a:solidFill>
                <a:srgbClr val="00B050"/>
              </a:solidFill>
              <a:effectLst/>
            </a:rPr>
            <a:t> show strong engagement on Instagram and Twitter, confirming their effectiveness for dynamic content.</a:t>
          </a:r>
        </a:p>
        <a:p>
          <a:r>
            <a:rPr lang="en-US" sz="1100" b="1">
              <a:solidFill>
                <a:srgbClr val="00B050"/>
              </a:solidFill>
              <a:effectLst/>
              <a:latin typeface="+mn-lt"/>
              <a:ea typeface="+mn-ea"/>
              <a:cs typeface="+mn-cs"/>
            </a:rPr>
            <a:t>@ </a:t>
          </a:r>
          <a:r>
            <a:rPr lang="en-US" sz="1000" b="1">
              <a:solidFill>
                <a:srgbClr val="00B050"/>
              </a:solidFill>
              <a:effectLst/>
            </a:rPr>
            <a:t>Text and Video formats</a:t>
          </a:r>
          <a:r>
            <a:rPr lang="en-US" sz="1000">
              <a:solidFill>
                <a:srgbClr val="00B050"/>
              </a:solidFill>
              <a:effectLst/>
            </a:rPr>
            <a:t> perform best on YouTube, suggesting platform-native content works better.</a:t>
          </a:r>
        </a:p>
        <a:p>
          <a:r>
            <a:rPr lang="en-US" sz="1100" b="1">
              <a:solidFill>
                <a:srgbClr val="00B050"/>
              </a:solidFill>
              <a:effectLst/>
              <a:latin typeface="+mn-lt"/>
              <a:ea typeface="+mn-ea"/>
              <a:cs typeface="+mn-cs"/>
            </a:rPr>
            <a:t>@ </a:t>
          </a:r>
          <a:r>
            <a:rPr lang="en-US" sz="1000" b="1">
              <a:solidFill>
                <a:srgbClr val="00B050"/>
              </a:solidFill>
              <a:effectLst/>
            </a:rPr>
            <a:t>Facebook leads in total Likes</a:t>
          </a:r>
          <a:r>
            <a:rPr lang="en-US" sz="1000">
              <a:solidFill>
                <a:srgbClr val="00B050"/>
              </a:solidFill>
              <a:effectLst/>
            </a:rPr>
            <a:t>, while </a:t>
          </a:r>
          <a:r>
            <a:rPr lang="en-US" sz="1000" b="1">
              <a:solidFill>
                <a:srgbClr val="00B050"/>
              </a:solidFill>
              <a:effectLst/>
            </a:rPr>
            <a:t>Instagram leads in Shares</a:t>
          </a:r>
          <a:r>
            <a:rPr lang="en-US" sz="1000">
              <a:solidFill>
                <a:srgbClr val="00B050"/>
              </a:solidFill>
              <a:effectLst/>
            </a:rPr>
            <a:t>, showing different strengths.</a:t>
          </a:r>
        </a:p>
      </xdr:txBody>
    </xdr:sp>
    <xdr:clientData/>
  </xdr:oneCellAnchor>
  <xdr:oneCellAnchor>
    <xdr:from>
      <xdr:col>9</xdr:col>
      <xdr:colOff>312420</xdr:colOff>
      <xdr:row>85</xdr:row>
      <xdr:rowOff>68580</xdr:rowOff>
    </xdr:from>
    <xdr:ext cx="4313368" cy="1524000"/>
    <xdr:sp macro="" textlink="">
      <xdr:nvSpPr>
        <xdr:cNvPr id="9" name="TextBox 8">
          <a:extLst>
            <a:ext uri="{FF2B5EF4-FFF2-40B4-BE49-F238E27FC236}">
              <a16:creationId xmlns:a16="http://schemas.microsoft.com/office/drawing/2014/main" id="{0175559A-8615-4BC4-8755-0B12A4C7A5E3}"/>
            </a:ext>
          </a:extLst>
        </xdr:cNvPr>
        <xdr:cNvSpPr txBox="1"/>
      </xdr:nvSpPr>
      <xdr:spPr>
        <a:xfrm>
          <a:off x="7699338" y="16222980"/>
          <a:ext cx="4313368" cy="152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tx1"/>
              </a:solidFill>
            </a:rPr>
            <a:t>Insights</a:t>
          </a:r>
          <a:r>
            <a:rPr lang="en-US" sz="1400" b="1" baseline="0">
              <a:solidFill>
                <a:schemeClr val="tx1"/>
              </a:solidFill>
            </a:rPr>
            <a:t> :</a:t>
          </a:r>
          <a:endParaRPr lang="en-US" sz="1100">
            <a:solidFill>
              <a:srgbClr val="00B050"/>
            </a:solidFill>
          </a:endParaRPr>
        </a:p>
        <a:p>
          <a:r>
            <a:rPr lang="en-US" sz="1000" b="1">
              <a:solidFill>
                <a:srgbClr val="00B050"/>
              </a:solidFill>
              <a:effectLst/>
            </a:rPr>
            <a:t>@ #Myntratrend (165.27)</a:t>
          </a:r>
          <a:r>
            <a:rPr lang="en-US" sz="1000">
              <a:solidFill>
                <a:srgbClr val="00B050"/>
              </a:solidFill>
              <a:effectLst/>
            </a:rPr>
            <a:t> and </a:t>
          </a:r>
          <a:r>
            <a:rPr lang="en-US" sz="1000" b="1">
              <a:solidFill>
                <a:srgbClr val="00B050"/>
              </a:solidFill>
              <a:effectLst/>
            </a:rPr>
            <a:t>#Fashiondeals (152.58)</a:t>
          </a:r>
          <a:r>
            <a:rPr lang="en-US" sz="1000">
              <a:solidFill>
                <a:srgbClr val="00B050"/>
              </a:solidFill>
              <a:effectLst/>
            </a:rPr>
            <a:t> outperform the overall average (150.95), making them top candidates for future campaigns.</a:t>
          </a:r>
        </a:p>
        <a:p>
          <a:r>
            <a:rPr lang="en-US" sz="1100" b="1">
              <a:solidFill>
                <a:srgbClr val="00B050"/>
              </a:solidFill>
              <a:effectLst/>
              <a:latin typeface="+mn-lt"/>
              <a:ea typeface="+mn-ea"/>
              <a:cs typeface="+mn-cs"/>
            </a:rPr>
            <a:t>@ </a:t>
          </a:r>
          <a:r>
            <a:rPr lang="en-US" sz="1000" b="1">
              <a:solidFill>
                <a:srgbClr val="00B050"/>
              </a:solidFill>
              <a:effectLst/>
            </a:rPr>
            <a:t>#Stylewithmyntra</a:t>
          </a:r>
          <a:r>
            <a:rPr lang="en-US" sz="1000">
              <a:solidFill>
                <a:srgbClr val="00B050"/>
              </a:solidFill>
              <a:effectLst/>
            </a:rPr>
            <a:t> has high post volume (104) and solid performance (146.16), indicating reliability.</a:t>
          </a:r>
        </a:p>
        <a:p>
          <a:r>
            <a:rPr lang="en-US" sz="1100" b="1">
              <a:solidFill>
                <a:srgbClr val="00B050"/>
              </a:solidFill>
              <a:effectLst/>
              <a:latin typeface="+mn-lt"/>
              <a:ea typeface="+mn-ea"/>
              <a:cs typeface="+mn-cs"/>
            </a:rPr>
            <a:t>@ </a:t>
          </a:r>
          <a:r>
            <a:rPr lang="en-US" sz="1000" b="1">
              <a:solidFill>
                <a:srgbClr val="00B050"/>
              </a:solidFill>
              <a:effectLst/>
            </a:rPr>
            <a:t>Benchmark flags</a:t>
          </a:r>
          <a:r>
            <a:rPr lang="en-US" sz="1000">
              <a:solidFill>
                <a:srgbClr val="00B050"/>
              </a:solidFill>
              <a:effectLst/>
            </a:rPr>
            <a:t> help identify which tags consistently exceed expectations — a smart addition.</a:t>
          </a:r>
        </a:p>
      </xdr:txBody>
    </xdr:sp>
    <xdr:clientData/>
  </xdr:oneCellAnchor>
  <xdr:oneCellAnchor>
    <xdr:from>
      <xdr:col>5</xdr:col>
      <xdr:colOff>0</xdr:colOff>
      <xdr:row>114</xdr:row>
      <xdr:rowOff>0</xdr:rowOff>
    </xdr:from>
    <xdr:ext cx="5021580" cy="1524000"/>
    <xdr:sp macro="" textlink="">
      <xdr:nvSpPr>
        <xdr:cNvPr id="10" name="TextBox 9">
          <a:extLst>
            <a:ext uri="{FF2B5EF4-FFF2-40B4-BE49-F238E27FC236}">
              <a16:creationId xmlns:a16="http://schemas.microsoft.com/office/drawing/2014/main" id="{75250729-25C9-4CB9-A421-6CAA5BE35473}"/>
            </a:ext>
          </a:extLst>
        </xdr:cNvPr>
        <xdr:cNvSpPr txBox="1"/>
      </xdr:nvSpPr>
      <xdr:spPr>
        <a:xfrm>
          <a:off x="2438400" y="18585180"/>
          <a:ext cx="5021580" cy="152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tx1"/>
              </a:solidFill>
            </a:rPr>
            <a:t>Insights</a:t>
          </a:r>
          <a:r>
            <a:rPr lang="en-US" sz="1400" b="1" baseline="0">
              <a:solidFill>
                <a:schemeClr val="tx1"/>
              </a:solidFill>
            </a:rPr>
            <a:t> :</a:t>
          </a:r>
          <a:endParaRPr lang="en-US" sz="1100">
            <a:solidFill>
              <a:srgbClr val="00B050"/>
            </a:solidFill>
          </a:endParaRPr>
        </a:p>
        <a:p>
          <a:r>
            <a:rPr lang="en-US" sz="1000" b="1">
              <a:solidFill>
                <a:srgbClr val="00B050"/>
              </a:solidFill>
              <a:effectLst/>
            </a:rPr>
            <a:t>@ #Myntratrend</a:t>
          </a:r>
          <a:r>
            <a:rPr lang="en-US" sz="1000">
              <a:solidFill>
                <a:srgbClr val="00B050"/>
              </a:solidFill>
              <a:effectLst/>
            </a:rPr>
            <a:t> leads in Avg Clicks and CTR (1.62%) — ideal for paid promotions.</a:t>
          </a:r>
        </a:p>
        <a:p>
          <a:r>
            <a:rPr lang="en-US" sz="1100" b="1">
              <a:solidFill>
                <a:srgbClr val="00B050"/>
              </a:solidFill>
              <a:effectLst/>
              <a:latin typeface="+mn-lt"/>
              <a:ea typeface="+mn-ea"/>
              <a:cs typeface="+mn-cs"/>
            </a:rPr>
            <a:t>@ </a:t>
          </a:r>
          <a:r>
            <a:rPr lang="en-US" sz="1000" b="1">
              <a:solidFill>
                <a:srgbClr val="00B050"/>
              </a:solidFill>
              <a:effectLst/>
            </a:rPr>
            <a:t>#Stylewithmyntra</a:t>
          </a:r>
          <a:r>
            <a:rPr lang="en-US" sz="1000">
              <a:solidFill>
                <a:srgbClr val="00B050"/>
              </a:solidFill>
              <a:effectLst/>
            </a:rPr>
            <a:t> has the highest Avg Engagement (15.62%) — great for organic reach and brand affinity.</a:t>
          </a:r>
        </a:p>
        <a:p>
          <a:r>
            <a:rPr lang="en-US" sz="1100" b="1">
              <a:solidFill>
                <a:srgbClr val="00B050"/>
              </a:solidFill>
              <a:effectLst/>
              <a:latin typeface="+mn-lt"/>
              <a:ea typeface="+mn-ea"/>
              <a:cs typeface="+mn-cs"/>
            </a:rPr>
            <a:t>@ </a:t>
          </a:r>
          <a:r>
            <a:rPr lang="en-US" sz="1000" b="1">
              <a:solidFill>
                <a:srgbClr val="00B050"/>
              </a:solidFill>
              <a:effectLst/>
            </a:rPr>
            <a:t>#Myntrasale</a:t>
          </a:r>
          <a:r>
            <a:rPr lang="en-US" sz="1000">
              <a:solidFill>
                <a:srgbClr val="00B050"/>
              </a:solidFill>
              <a:effectLst/>
            </a:rPr>
            <a:t> and </a:t>
          </a:r>
          <a:r>
            <a:rPr lang="en-US" sz="1000" b="1">
              <a:solidFill>
                <a:srgbClr val="00B050"/>
              </a:solidFill>
              <a:effectLst/>
            </a:rPr>
            <a:t>#Fashiondeals</a:t>
          </a:r>
          <a:r>
            <a:rPr lang="en-US" sz="1000">
              <a:solidFill>
                <a:srgbClr val="00B050"/>
              </a:solidFill>
              <a:effectLst/>
            </a:rPr>
            <a:t> are well-balanced across all metrics.</a:t>
          </a:r>
        </a:p>
        <a:p>
          <a:r>
            <a:rPr lang="en-US" sz="1000">
              <a:solidFill>
                <a:srgbClr val="00B050"/>
              </a:solidFill>
              <a:effectLst/>
            </a:rPr>
            <a:t>The </a:t>
          </a:r>
          <a:r>
            <a:rPr lang="en-US" sz="1000" b="1">
              <a:solidFill>
                <a:srgbClr val="00B050"/>
              </a:solidFill>
              <a:effectLst/>
            </a:rPr>
            <a:t>interactive dashboard</a:t>
          </a:r>
          <a:r>
            <a:rPr lang="en-US" sz="1000">
              <a:solidFill>
                <a:srgbClr val="00B050"/>
              </a:solidFill>
              <a:effectLst/>
            </a:rPr>
            <a:t> with filters and charts makes it easy to compare performance across campaigns and platforms.</a:t>
          </a:r>
        </a:p>
      </xdr:txBody>
    </xdr:sp>
    <xdr:clientData/>
  </xdr:oneCellAnchor>
  <xdr:oneCellAnchor>
    <xdr:from>
      <xdr:col>7</xdr:col>
      <xdr:colOff>0</xdr:colOff>
      <xdr:row>0</xdr:row>
      <xdr:rowOff>116541</xdr:rowOff>
    </xdr:from>
    <xdr:ext cx="5576047" cy="405432"/>
    <xdr:sp macro="" textlink="">
      <xdr:nvSpPr>
        <xdr:cNvPr id="4" name="TextBox 3">
          <a:extLst>
            <a:ext uri="{FF2B5EF4-FFF2-40B4-BE49-F238E27FC236}">
              <a16:creationId xmlns:a16="http://schemas.microsoft.com/office/drawing/2014/main" id="{9661E6DA-1797-4EBD-8DD7-78DD0CB300E9}"/>
            </a:ext>
          </a:extLst>
        </xdr:cNvPr>
        <xdr:cNvSpPr txBox="1"/>
      </xdr:nvSpPr>
      <xdr:spPr>
        <a:xfrm>
          <a:off x="5262282" y="116541"/>
          <a:ext cx="5576047" cy="405432"/>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u="none">
              <a:solidFill>
                <a:schemeClr val="bg2"/>
              </a:solidFill>
            </a:rPr>
            <a:t>TASK</a:t>
          </a:r>
          <a:r>
            <a:rPr lang="en-US" sz="2000" b="1" u="none" baseline="0">
              <a:solidFill>
                <a:schemeClr val="bg2"/>
              </a:solidFill>
            </a:rPr>
            <a:t> 2 - ENGAGEMENT ANALYSIS</a:t>
          </a:r>
          <a:endParaRPr lang="en-US" sz="2000" b="1" u="none">
            <a:solidFill>
              <a:schemeClr val="bg2"/>
            </a:solidFill>
          </a:endParaRPr>
        </a:p>
      </xdr:txBody>
    </xdr:sp>
    <xdr:clientData/>
  </xdr:oneCellAnchor>
  <xdr:oneCellAnchor>
    <xdr:from>
      <xdr:col>7</xdr:col>
      <xdr:colOff>8965</xdr:colOff>
      <xdr:row>6</xdr:row>
      <xdr:rowOff>71720</xdr:rowOff>
    </xdr:from>
    <xdr:ext cx="5509709" cy="342786"/>
    <xdr:sp macro="" textlink="">
      <xdr:nvSpPr>
        <xdr:cNvPr id="5" name="TextBox 4">
          <a:extLst>
            <a:ext uri="{FF2B5EF4-FFF2-40B4-BE49-F238E27FC236}">
              <a16:creationId xmlns:a16="http://schemas.microsoft.com/office/drawing/2014/main" id="{77492124-A9E7-4703-B242-0D3965E5B1A8}"/>
            </a:ext>
          </a:extLst>
        </xdr:cNvPr>
        <xdr:cNvSpPr txBox="1"/>
      </xdr:nvSpPr>
      <xdr:spPr>
        <a:xfrm>
          <a:off x="4778189" y="968191"/>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1. Average engagement rate per platform</a:t>
          </a:r>
        </a:p>
      </xdr:txBody>
    </xdr:sp>
    <xdr:clientData/>
  </xdr:oneCellAnchor>
  <xdr:oneCellAnchor>
    <xdr:from>
      <xdr:col>7</xdr:col>
      <xdr:colOff>0</xdr:colOff>
      <xdr:row>20</xdr:row>
      <xdr:rowOff>0</xdr:rowOff>
    </xdr:from>
    <xdr:ext cx="5509709" cy="342786"/>
    <xdr:sp macro="" textlink="">
      <xdr:nvSpPr>
        <xdr:cNvPr id="11" name="TextBox 10">
          <a:extLst>
            <a:ext uri="{FF2B5EF4-FFF2-40B4-BE49-F238E27FC236}">
              <a16:creationId xmlns:a16="http://schemas.microsoft.com/office/drawing/2014/main" id="{07B96CAE-3A71-4368-8A80-19B1C096E0CE}"/>
            </a:ext>
          </a:extLst>
        </xdr:cNvPr>
        <xdr:cNvSpPr txBox="1"/>
      </xdr:nvSpPr>
      <xdr:spPr>
        <a:xfrm>
          <a:off x="4769224" y="3872753"/>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2. Top 10 Myntra posts with highest engagement</a:t>
          </a:r>
        </a:p>
      </xdr:txBody>
    </xdr:sp>
    <xdr:clientData/>
  </xdr:oneCellAnchor>
  <xdr:oneCellAnchor>
    <xdr:from>
      <xdr:col>7</xdr:col>
      <xdr:colOff>0</xdr:colOff>
      <xdr:row>44</xdr:row>
      <xdr:rowOff>0</xdr:rowOff>
    </xdr:from>
    <xdr:ext cx="5509709" cy="342786"/>
    <xdr:sp macro="" textlink="">
      <xdr:nvSpPr>
        <xdr:cNvPr id="12" name="TextBox 11">
          <a:extLst>
            <a:ext uri="{FF2B5EF4-FFF2-40B4-BE49-F238E27FC236}">
              <a16:creationId xmlns:a16="http://schemas.microsoft.com/office/drawing/2014/main" id="{31EBBC22-C10D-4FF4-AEDC-3D75151406D2}"/>
            </a:ext>
          </a:extLst>
        </xdr:cNvPr>
        <xdr:cNvSpPr txBox="1"/>
      </xdr:nvSpPr>
      <xdr:spPr>
        <a:xfrm>
          <a:off x="4769224" y="7727576"/>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3.  Likes, Shares, Comments by Content Type &amp; Platform</a:t>
          </a:r>
        </a:p>
      </xdr:txBody>
    </xdr:sp>
    <xdr:clientData/>
  </xdr:oneCellAnchor>
  <xdr:oneCellAnchor>
    <xdr:from>
      <xdr:col>7</xdr:col>
      <xdr:colOff>0</xdr:colOff>
      <xdr:row>83</xdr:row>
      <xdr:rowOff>0</xdr:rowOff>
    </xdr:from>
    <xdr:ext cx="5509709" cy="342786"/>
    <xdr:sp macro="" textlink="">
      <xdr:nvSpPr>
        <xdr:cNvPr id="13" name="TextBox 12">
          <a:extLst>
            <a:ext uri="{FF2B5EF4-FFF2-40B4-BE49-F238E27FC236}">
              <a16:creationId xmlns:a16="http://schemas.microsoft.com/office/drawing/2014/main" id="{C65C4B75-2B76-4E0E-8FA3-F4F2DFA22323}"/>
            </a:ext>
          </a:extLst>
        </xdr:cNvPr>
        <xdr:cNvSpPr txBox="1"/>
      </xdr:nvSpPr>
      <xdr:spPr>
        <a:xfrm>
          <a:off x="4769224" y="14271812"/>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4. Average Clicks per post by Hashtag</a:t>
          </a:r>
        </a:p>
      </xdr:txBody>
    </xdr:sp>
    <xdr:clientData/>
  </xdr:oneCellAnchor>
  <xdr:oneCellAnchor>
    <xdr:from>
      <xdr:col>7</xdr:col>
      <xdr:colOff>0</xdr:colOff>
      <xdr:row>99</xdr:row>
      <xdr:rowOff>0</xdr:rowOff>
    </xdr:from>
    <xdr:ext cx="5509709" cy="342786"/>
    <xdr:sp macro="" textlink="">
      <xdr:nvSpPr>
        <xdr:cNvPr id="14" name="TextBox 13">
          <a:extLst>
            <a:ext uri="{FF2B5EF4-FFF2-40B4-BE49-F238E27FC236}">
              <a16:creationId xmlns:a16="http://schemas.microsoft.com/office/drawing/2014/main" id="{B6CA0B0A-6C58-40D9-B541-0D24EC7DC3FA}"/>
            </a:ext>
          </a:extLst>
        </xdr:cNvPr>
        <xdr:cNvSpPr txBox="1"/>
      </xdr:nvSpPr>
      <xdr:spPr>
        <a:xfrm>
          <a:off x="4769224" y="16674353"/>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5. Highlighting top-performing hashtags</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11</xdr:col>
      <xdr:colOff>296092</xdr:colOff>
      <xdr:row>7</xdr:row>
      <xdr:rowOff>153489</xdr:rowOff>
    </xdr:from>
    <xdr:ext cx="5268685" cy="3427092"/>
    <xdr:sp macro="" textlink="">
      <xdr:nvSpPr>
        <xdr:cNvPr id="4" name="TextBox 3">
          <a:extLst>
            <a:ext uri="{FF2B5EF4-FFF2-40B4-BE49-F238E27FC236}">
              <a16:creationId xmlns:a16="http://schemas.microsoft.com/office/drawing/2014/main" id="{CBD84D76-2220-4881-8EFD-EE2E0DF43ABE}"/>
            </a:ext>
          </a:extLst>
        </xdr:cNvPr>
        <xdr:cNvSpPr txBox="1"/>
      </xdr:nvSpPr>
      <xdr:spPr>
        <a:xfrm>
          <a:off x="8776063" y="795746"/>
          <a:ext cx="5268685" cy="34270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sz="1400" b="1" baseline="0">
              <a:solidFill>
                <a:srgbClr val="00B050"/>
              </a:solidFill>
            </a:rPr>
            <a:t>@ </a:t>
          </a:r>
          <a:r>
            <a:rPr lang="en-US" b="1">
              <a:solidFill>
                <a:srgbClr val="00B050"/>
              </a:solidFill>
              <a:effectLst/>
            </a:rPr>
            <a:t>Instagram (18.38% engagement)</a:t>
          </a:r>
          <a:endParaRPr lang="en-US">
            <a:solidFill>
              <a:srgbClr val="00B050"/>
            </a:solidFill>
            <a:effectLst/>
          </a:endParaRPr>
        </a:p>
        <a:p>
          <a:pPr lvl="1"/>
          <a:r>
            <a:rPr lang="en-US">
              <a:solidFill>
                <a:srgbClr val="00B050"/>
              </a:solidFill>
              <a:effectLst/>
            </a:rPr>
            <a:t>Best formats: </a:t>
          </a:r>
          <a:r>
            <a:rPr lang="en-US" b="1">
              <a:solidFill>
                <a:srgbClr val="00B050"/>
              </a:solidFill>
              <a:effectLst/>
            </a:rPr>
            <a:t>Reels and Stories</a:t>
          </a:r>
          <a:endParaRPr lang="en-US">
            <a:solidFill>
              <a:srgbClr val="00B050"/>
            </a:solidFill>
            <a:effectLst/>
          </a:endParaRPr>
        </a:p>
        <a:p>
          <a:pPr lvl="1"/>
          <a:r>
            <a:rPr lang="en-US">
              <a:solidFill>
                <a:srgbClr val="00B050"/>
              </a:solidFill>
              <a:effectLst/>
            </a:rPr>
            <a:t>Drives the highest interaction and clicks.</a:t>
          </a:r>
        </a:p>
        <a:p>
          <a:pPr lvl="1"/>
          <a:r>
            <a:rPr lang="en-US">
              <a:solidFill>
                <a:srgbClr val="00B050"/>
              </a:solidFill>
              <a:effectLst/>
            </a:rPr>
            <a:t>Ideal for </a:t>
          </a:r>
          <a:r>
            <a:rPr lang="en-US" b="1">
              <a:solidFill>
                <a:srgbClr val="00B050"/>
              </a:solidFill>
              <a:effectLst/>
            </a:rPr>
            <a:t>interactive campaigns, influencer collaborations, and trend-driven content</a:t>
          </a:r>
          <a:r>
            <a:rPr lang="en-US">
              <a:solidFill>
                <a:srgbClr val="00B050"/>
              </a:solidFill>
              <a:effectLst/>
            </a:rPr>
            <a:t>.</a:t>
          </a:r>
        </a:p>
        <a:p>
          <a:r>
            <a:rPr kumimoji="0" lang="en-US" sz="1400" b="1" i="0" u="none" strike="noStrike" kern="0" cap="none" spc="0" normalizeH="0" baseline="0" noProof="0">
              <a:ln>
                <a:noFill/>
              </a:ln>
              <a:solidFill>
                <a:srgbClr val="00B050"/>
              </a:solidFill>
              <a:effectLst/>
              <a:uLnTx/>
              <a:uFillTx/>
              <a:latin typeface="+mn-lt"/>
              <a:ea typeface="+mn-ea"/>
              <a:cs typeface="+mn-cs"/>
            </a:rPr>
            <a:t>@ </a:t>
          </a:r>
          <a:r>
            <a:rPr lang="en-US" b="1">
              <a:solidFill>
                <a:srgbClr val="00B050"/>
              </a:solidFill>
              <a:effectLst/>
            </a:rPr>
            <a:t>Twitter (14.51% engagement)</a:t>
          </a:r>
          <a:endParaRPr lang="en-US">
            <a:solidFill>
              <a:srgbClr val="00B050"/>
            </a:solidFill>
            <a:effectLst/>
          </a:endParaRPr>
        </a:p>
        <a:p>
          <a:pPr lvl="1"/>
          <a:r>
            <a:rPr lang="en-US">
              <a:solidFill>
                <a:srgbClr val="00B050"/>
              </a:solidFill>
              <a:effectLst/>
            </a:rPr>
            <a:t>Best formats: </a:t>
          </a:r>
          <a:r>
            <a:rPr lang="en-US" b="1">
              <a:solidFill>
                <a:srgbClr val="00B050"/>
              </a:solidFill>
              <a:effectLst/>
            </a:rPr>
            <a:t>Text and Carousel/Image posts</a:t>
          </a:r>
          <a:endParaRPr lang="en-US">
            <a:solidFill>
              <a:srgbClr val="00B050"/>
            </a:solidFill>
            <a:effectLst/>
          </a:endParaRPr>
        </a:p>
        <a:p>
          <a:pPr lvl="1"/>
          <a:r>
            <a:rPr lang="en-US">
              <a:solidFill>
                <a:srgbClr val="00B050"/>
              </a:solidFill>
              <a:effectLst/>
            </a:rPr>
            <a:t>Strong for </a:t>
          </a:r>
          <a:r>
            <a:rPr lang="en-US" b="1">
              <a:solidFill>
                <a:srgbClr val="00B050"/>
              </a:solidFill>
              <a:effectLst/>
            </a:rPr>
            <a:t>quick updates, announcements, flash sales, and trending hashtags</a:t>
          </a:r>
          <a:r>
            <a:rPr lang="en-US">
              <a:solidFill>
                <a:srgbClr val="00B050"/>
              </a:solidFill>
              <a:effectLst/>
            </a:rPr>
            <a:t>.</a:t>
          </a:r>
        </a:p>
        <a:p>
          <a:pPr lvl="1"/>
          <a:r>
            <a:rPr lang="en-US">
              <a:solidFill>
                <a:srgbClr val="00B050"/>
              </a:solidFill>
              <a:effectLst/>
            </a:rPr>
            <a:t>Works well for immediacy and conversation.</a:t>
          </a:r>
        </a:p>
        <a:p>
          <a:r>
            <a:rPr kumimoji="0" lang="en-US" sz="1400" b="1" i="0" u="none" strike="noStrike" kern="0" cap="none" spc="0" normalizeH="0" baseline="0" noProof="0">
              <a:ln>
                <a:noFill/>
              </a:ln>
              <a:solidFill>
                <a:srgbClr val="00B050"/>
              </a:solidFill>
              <a:effectLst/>
              <a:uLnTx/>
              <a:uFillTx/>
              <a:latin typeface="+mn-lt"/>
              <a:ea typeface="+mn-ea"/>
              <a:cs typeface="+mn-cs"/>
            </a:rPr>
            <a:t>@ </a:t>
          </a:r>
          <a:r>
            <a:rPr lang="en-US" b="1">
              <a:solidFill>
                <a:srgbClr val="00B050"/>
              </a:solidFill>
              <a:effectLst/>
            </a:rPr>
            <a:t>YouTube (13.37% engagement)</a:t>
          </a:r>
          <a:endParaRPr lang="en-US">
            <a:solidFill>
              <a:srgbClr val="00B050"/>
            </a:solidFill>
            <a:effectLst/>
          </a:endParaRPr>
        </a:p>
        <a:p>
          <a:pPr lvl="1"/>
          <a:r>
            <a:rPr lang="en-US">
              <a:solidFill>
                <a:srgbClr val="00B050"/>
              </a:solidFill>
              <a:effectLst/>
            </a:rPr>
            <a:t>Best formats: </a:t>
          </a:r>
          <a:r>
            <a:rPr lang="en-US" b="1">
              <a:solidFill>
                <a:srgbClr val="00B050"/>
              </a:solidFill>
              <a:effectLst/>
            </a:rPr>
            <a:t>Video + Text (descriptions)</a:t>
          </a:r>
          <a:endParaRPr lang="en-US">
            <a:solidFill>
              <a:srgbClr val="00B050"/>
            </a:solidFill>
            <a:effectLst/>
          </a:endParaRPr>
        </a:p>
        <a:p>
          <a:pPr lvl="1"/>
          <a:r>
            <a:rPr lang="en-US">
              <a:solidFill>
                <a:srgbClr val="00B050"/>
              </a:solidFill>
              <a:effectLst/>
            </a:rPr>
            <a:t>Excels at </a:t>
          </a:r>
          <a:r>
            <a:rPr lang="en-US" b="1">
              <a:solidFill>
                <a:srgbClr val="00B050"/>
              </a:solidFill>
              <a:effectLst/>
            </a:rPr>
            <a:t>product demos, tutorials, reviews, and long-form storytelling</a:t>
          </a:r>
          <a:r>
            <a:rPr lang="en-US">
              <a:solidFill>
                <a:srgbClr val="00B050"/>
              </a:solidFill>
              <a:effectLst/>
            </a:rPr>
            <a:t>.</a:t>
          </a:r>
        </a:p>
        <a:p>
          <a:pPr lvl="1"/>
          <a:r>
            <a:rPr lang="en-US">
              <a:solidFill>
                <a:srgbClr val="00B050"/>
              </a:solidFill>
              <a:effectLst/>
            </a:rPr>
            <a:t>Builds trust and educates audiences.</a:t>
          </a:r>
        </a:p>
        <a:p>
          <a:r>
            <a:rPr kumimoji="0" lang="en-US" sz="1400" b="1" i="0" u="none" strike="noStrike" kern="0" cap="none" spc="0" normalizeH="0" baseline="0" noProof="0">
              <a:ln>
                <a:noFill/>
              </a:ln>
              <a:solidFill>
                <a:srgbClr val="00B050"/>
              </a:solidFill>
              <a:effectLst/>
              <a:uLnTx/>
              <a:uFillTx/>
              <a:latin typeface="+mn-lt"/>
              <a:ea typeface="+mn-ea"/>
              <a:cs typeface="+mn-cs"/>
            </a:rPr>
            <a:t>@ </a:t>
          </a:r>
          <a:r>
            <a:rPr lang="en-US" b="1">
              <a:solidFill>
                <a:srgbClr val="00B050"/>
              </a:solidFill>
              <a:effectLst/>
            </a:rPr>
            <a:t>Facebook (12.37% engagement)</a:t>
          </a:r>
          <a:endParaRPr lang="en-US">
            <a:solidFill>
              <a:srgbClr val="00B050"/>
            </a:solidFill>
            <a:effectLst/>
          </a:endParaRPr>
        </a:p>
        <a:p>
          <a:pPr lvl="1"/>
          <a:r>
            <a:rPr lang="en-US">
              <a:solidFill>
                <a:srgbClr val="00B050"/>
              </a:solidFill>
              <a:effectLst/>
            </a:rPr>
            <a:t>Best formats: </a:t>
          </a:r>
          <a:r>
            <a:rPr lang="en-US" b="1">
              <a:solidFill>
                <a:srgbClr val="00B050"/>
              </a:solidFill>
              <a:effectLst/>
            </a:rPr>
            <a:t>Image and Carousel posts</a:t>
          </a:r>
          <a:endParaRPr lang="en-US">
            <a:solidFill>
              <a:srgbClr val="00B050"/>
            </a:solidFill>
            <a:effectLst/>
          </a:endParaRPr>
        </a:p>
        <a:p>
          <a:pPr lvl="1"/>
          <a:r>
            <a:rPr lang="en-US">
              <a:solidFill>
                <a:srgbClr val="00B050"/>
              </a:solidFill>
              <a:effectLst/>
            </a:rPr>
            <a:t>Lower organic engagement but strong for </a:t>
          </a:r>
          <a:r>
            <a:rPr lang="en-US" b="1">
              <a:solidFill>
                <a:srgbClr val="00B050"/>
              </a:solidFill>
              <a:effectLst/>
            </a:rPr>
            <a:t>paid amplification and broad reach</a:t>
          </a:r>
          <a:r>
            <a:rPr lang="en-US">
              <a:solidFill>
                <a:srgbClr val="00B050"/>
              </a:solidFill>
              <a:effectLst/>
            </a:rPr>
            <a:t>.</a:t>
          </a:r>
        </a:p>
        <a:p>
          <a:pPr lvl="1"/>
          <a:r>
            <a:rPr lang="en-US">
              <a:solidFill>
                <a:srgbClr val="00B050"/>
              </a:solidFill>
              <a:effectLst/>
            </a:rPr>
            <a:t>Useful for community engagement and awareness campaigns.</a:t>
          </a:r>
        </a:p>
      </xdr:txBody>
    </xdr:sp>
    <xdr:clientData/>
  </xdr:oneCellAnchor>
  <xdr:twoCellAnchor>
    <xdr:from>
      <xdr:col>5</xdr:col>
      <xdr:colOff>1087</xdr:colOff>
      <xdr:row>18</xdr:row>
      <xdr:rowOff>44088</xdr:rowOff>
    </xdr:from>
    <xdr:to>
      <xdr:col>11</xdr:col>
      <xdr:colOff>44824</xdr:colOff>
      <xdr:row>32</xdr:row>
      <xdr:rowOff>0</xdr:rowOff>
    </xdr:to>
    <xdr:graphicFrame macro="">
      <xdr:nvGraphicFramePr>
        <xdr:cNvPr id="2" name="Chart 1">
          <a:extLst>
            <a:ext uri="{FF2B5EF4-FFF2-40B4-BE49-F238E27FC236}">
              <a16:creationId xmlns:a16="http://schemas.microsoft.com/office/drawing/2014/main" id="{1386C756-1402-C9A0-41F8-B1AF4E475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1345</xdr:colOff>
      <xdr:row>45</xdr:row>
      <xdr:rowOff>160020</xdr:rowOff>
    </xdr:from>
    <xdr:to>
      <xdr:col>10</xdr:col>
      <xdr:colOff>26894</xdr:colOff>
      <xdr:row>60</xdr:row>
      <xdr:rowOff>44823</xdr:rowOff>
    </xdr:to>
    <xdr:graphicFrame macro="">
      <xdr:nvGraphicFramePr>
        <xdr:cNvPr id="3" name="Chart 2">
          <a:extLst>
            <a:ext uri="{FF2B5EF4-FFF2-40B4-BE49-F238E27FC236}">
              <a16:creationId xmlns:a16="http://schemas.microsoft.com/office/drawing/2014/main" id="{8BE0CDF6-1508-A8C7-A4F1-E435B0C8AD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xdr:col>
      <xdr:colOff>388620</xdr:colOff>
      <xdr:row>44</xdr:row>
      <xdr:rowOff>121920</xdr:rowOff>
    </xdr:from>
    <xdr:ext cx="5268685" cy="1313436"/>
    <xdr:sp macro="" textlink="">
      <xdr:nvSpPr>
        <xdr:cNvPr id="5" name="TextBox 4">
          <a:extLst>
            <a:ext uri="{FF2B5EF4-FFF2-40B4-BE49-F238E27FC236}">
              <a16:creationId xmlns:a16="http://schemas.microsoft.com/office/drawing/2014/main" id="{13B29AA2-F169-4D30-B59E-EEC0CD6EA7B8}"/>
            </a:ext>
          </a:extLst>
        </xdr:cNvPr>
        <xdr:cNvSpPr txBox="1"/>
      </xdr:nvSpPr>
      <xdr:spPr>
        <a:xfrm>
          <a:off x="8412480" y="7566660"/>
          <a:ext cx="5268685" cy="1313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tx1"/>
              </a:solidFill>
            </a:rPr>
            <a:t>Insights</a:t>
          </a:r>
          <a:r>
            <a:rPr lang="en-US" sz="1400" b="1" baseline="0">
              <a:solidFill>
                <a:schemeClr val="tx1"/>
              </a:solidFill>
            </a:rPr>
            <a:t> :</a:t>
          </a:r>
          <a:br>
            <a:rPr lang="en-US" sz="1400" b="1" baseline="0">
              <a:solidFill>
                <a:schemeClr val="tx1"/>
              </a:solidFill>
            </a:rPr>
          </a:br>
          <a:r>
            <a:rPr kumimoji="0" lang="en-US" sz="1400" b="1" i="0" u="none" strike="noStrike" kern="0" cap="none" spc="0" normalizeH="0" baseline="0" noProof="0">
              <a:ln>
                <a:noFill/>
              </a:ln>
              <a:solidFill>
                <a:srgbClr val="00B050"/>
              </a:solidFill>
              <a:effectLst/>
              <a:uLnTx/>
              <a:uFillTx/>
              <a:latin typeface="+mn-lt"/>
              <a:ea typeface="+mn-ea"/>
              <a:cs typeface="+mn-cs"/>
            </a:rPr>
            <a:t>@ </a:t>
          </a:r>
          <a:r>
            <a:rPr lang="en-US" b="1">
              <a:solidFill>
                <a:srgbClr val="00B050"/>
              </a:solidFill>
              <a:effectLst/>
            </a:rPr>
            <a:t>Instagram</a:t>
          </a:r>
          <a:r>
            <a:rPr lang="en-US">
              <a:solidFill>
                <a:srgbClr val="00B050"/>
              </a:solidFill>
            </a:rPr>
            <a:t> achieved the highest follower growth at </a:t>
          </a:r>
          <a:r>
            <a:rPr lang="en-US" b="1">
              <a:solidFill>
                <a:srgbClr val="00B050"/>
              </a:solidFill>
              <a:effectLst/>
            </a:rPr>
            <a:t>113%</a:t>
          </a:r>
          <a:r>
            <a:rPr lang="en-US">
              <a:solidFill>
                <a:srgbClr val="00B050"/>
              </a:solidFill>
            </a:rPr>
            <a:t>, more than doubling its audience.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00B050"/>
              </a:solidFill>
              <a:effectLst/>
              <a:uLnTx/>
              <a:uFillTx/>
              <a:latin typeface="+mn-lt"/>
              <a:ea typeface="+mn-ea"/>
              <a:cs typeface="+mn-cs"/>
            </a:rPr>
            <a:t>@ </a:t>
          </a:r>
          <a:r>
            <a:rPr lang="en-US" b="1">
              <a:solidFill>
                <a:srgbClr val="00B050"/>
              </a:solidFill>
              <a:effectLst/>
            </a:rPr>
            <a:t>Twitter</a:t>
          </a:r>
          <a:r>
            <a:rPr lang="en-US">
              <a:solidFill>
                <a:srgbClr val="00B050"/>
              </a:solidFill>
            </a:rPr>
            <a:t> followed with a solid </a:t>
          </a:r>
          <a:r>
            <a:rPr lang="en-US" b="1">
              <a:solidFill>
                <a:srgbClr val="00B050"/>
              </a:solidFill>
              <a:effectLst/>
            </a:rPr>
            <a:t>28%</a:t>
          </a:r>
          <a:r>
            <a:rPr lang="en-US">
              <a:solidFill>
                <a:srgbClr val="00B050"/>
              </a:solidFill>
            </a:rPr>
            <a:t> growth, showing consistent weekly gains.</a:t>
          </a:r>
          <a:br>
            <a:rPr lang="en-US">
              <a:solidFill>
                <a:srgbClr val="00B050"/>
              </a:solidFill>
            </a:rPr>
          </a:br>
          <a:r>
            <a:rPr kumimoji="0" lang="en-US" sz="1400" b="1" i="0" u="none" strike="noStrike" kern="0" cap="none" spc="0" normalizeH="0" baseline="0" noProof="0">
              <a:ln>
                <a:noFill/>
              </a:ln>
              <a:solidFill>
                <a:srgbClr val="00B050"/>
              </a:solidFill>
              <a:effectLst/>
              <a:uLnTx/>
              <a:uFillTx/>
              <a:latin typeface="+mn-lt"/>
              <a:ea typeface="+mn-ea"/>
              <a:cs typeface="+mn-cs"/>
            </a:rPr>
            <a:t>@ </a:t>
          </a:r>
          <a:r>
            <a:rPr lang="en-US" b="1">
              <a:solidFill>
                <a:srgbClr val="00B050"/>
              </a:solidFill>
              <a:effectLst/>
            </a:rPr>
            <a:t>Facebook</a:t>
          </a:r>
          <a:r>
            <a:rPr lang="en-US">
              <a:solidFill>
                <a:srgbClr val="00B050"/>
              </a:solidFill>
            </a:rPr>
            <a:t> and </a:t>
          </a:r>
          <a:r>
            <a:rPr lang="en-US" b="1">
              <a:solidFill>
                <a:srgbClr val="00B050"/>
              </a:solidFill>
              <a:effectLst/>
            </a:rPr>
            <a:t>YouTube</a:t>
          </a:r>
          <a:r>
            <a:rPr lang="en-US">
              <a:solidFill>
                <a:srgbClr val="00B050"/>
              </a:solidFill>
            </a:rPr>
            <a:t> had modest growth rates of </a:t>
          </a:r>
          <a:r>
            <a:rPr lang="en-US" b="1">
              <a:solidFill>
                <a:srgbClr val="00B050"/>
              </a:solidFill>
              <a:effectLst/>
            </a:rPr>
            <a:t>10%</a:t>
          </a:r>
          <a:r>
            <a:rPr lang="en-US">
              <a:solidFill>
                <a:srgbClr val="00B050"/>
              </a:solidFill>
            </a:rPr>
            <a:t> and </a:t>
          </a:r>
          <a:r>
            <a:rPr lang="en-US" b="1">
              <a:solidFill>
                <a:srgbClr val="00B050"/>
              </a:solidFill>
              <a:effectLst/>
            </a:rPr>
            <a:t>9%</a:t>
          </a:r>
          <a:r>
            <a:rPr lang="en-US">
              <a:solidFill>
                <a:srgbClr val="00B050"/>
              </a:solidFill>
            </a:rPr>
            <a:t>, indicating slower audience expansion.</a:t>
          </a:r>
          <a:endParaRPr lang="en-US">
            <a:solidFill>
              <a:srgbClr val="00B050"/>
            </a:solidFill>
            <a:effectLst/>
          </a:endParaRPr>
        </a:p>
      </xdr:txBody>
    </xdr:sp>
    <xdr:clientData/>
  </xdr:oneCellAnchor>
  <xdr:twoCellAnchor>
    <xdr:from>
      <xdr:col>4</xdr:col>
      <xdr:colOff>439273</xdr:colOff>
      <xdr:row>69</xdr:row>
      <xdr:rowOff>53787</xdr:rowOff>
    </xdr:from>
    <xdr:to>
      <xdr:col>13</xdr:col>
      <xdr:colOff>609601</xdr:colOff>
      <xdr:row>94</xdr:row>
      <xdr:rowOff>125506</xdr:rowOff>
    </xdr:to>
    <xdr:graphicFrame macro="">
      <xdr:nvGraphicFramePr>
        <xdr:cNvPr id="16" name="Chart 15">
          <a:extLst>
            <a:ext uri="{FF2B5EF4-FFF2-40B4-BE49-F238E27FC236}">
              <a16:creationId xmlns:a16="http://schemas.microsoft.com/office/drawing/2014/main" id="{4119AB74-A3A7-467E-80D4-22891D2D0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14</xdr:col>
      <xdr:colOff>53788</xdr:colOff>
      <xdr:row>69</xdr:row>
      <xdr:rowOff>80682</xdr:rowOff>
    </xdr:from>
    <xdr:ext cx="3621742" cy="4241289"/>
    <xdr:sp macro="" textlink="">
      <xdr:nvSpPr>
        <xdr:cNvPr id="17" name="TextBox 16">
          <a:extLst>
            <a:ext uri="{FF2B5EF4-FFF2-40B4-BE49-F238E27FC236}">
              <a16:creationId xmlns:a16="http://schemas.microsoft.com/office/drawing/2014/main" id="{79C29BF5-5832-4EAE-A4A4-18B5BD18F32C}"/>
            </a:ext>
          </a:extLst>
        </xdr:cNvPr>
        <xdr:cNvSpPr txBox="1"/>
      </xdr:nvSpPr>
      <xdr:spPr>
        <a:xfrm>
          <a:off x="11403106" y="11483788"/>
          <a:ext cx="3621742" cy="42412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tx1"/>
              </a:solidFill>
            </a:rPr>
            <a:t>Insights</a:t>
          </a:r>
          <a:r>
            <a:rPr lang="en-US" sz="1400" b="1" baseline="0">
              <a:solidFill>
                <a:schemeClr val="tx1"/>
              </a:solidFill>
            </a:rPr>
            <a:t> :</a:t>
          </a:r>
          <a:br>
            <a:rPr lang="en-US" sz="1400" b="1" baseline="0">
              <a:solidFill>
                <a:schemeClr val="tx1"/>
              </a:solidFill>
            </a:rPr>
          </a:br>
          <a:r>
            <a:rPr kumimoji="0" lang="en-US" sz="1400" b="1" i="0" u="none" strike="noStrike" kern="0" cap="none" spc="0" normalizeH="0" baseline="0" noProof="0">
              <a:ln>
                <a:noFill/>
              </a:ln>
              <a:solidFill>
                <a:srgbClr val="00B050"/>
              </a:solidFill>
              <a:effectLst/>
              <a:uLnTx/>
              <a:uFillTx/>
              <a:latin typeface="+mn-lt"/>
              <a:ea typeface="+mn-ea"/>
              <a:cs typeface="+mn-cs"/>
            </a:rPr>
            <a:t>@ </a:t>
          </a:r>
          <a:r>
            <a:rPr lang="en-US" b="1">
              <a:solidFill>
                <a:srgbClr val="00B050"/>
              </a:solidFill>
              <a:effectLst/>
            </a:rPr>
            <a:t>Instagram</a:t>
          </a:r>
          <a:r>
            <a:rPr lang="en-US">
              <a:solidFill>
                <a:srgbClr val="00B050"/>
              </a:solidFill>
            </a:rPr>
            <a:t> shows the highest baseline engagement (~5.5%) even with low ad spend. This suggests strong organic performance. However, the trendline slope is very small, meaning additional spend doesn’t significantly boost engagement.</a:t>
          </a:r>
          <a:br>
            <a:rPr lang="en-US">
              <a:solidFill>
                <a:srgbClr val="00B050"/>
              </a:solidFill>
            </a:rPr>
          </a:br>
          <a:r>
            <a:rPr kumimoji="0" lang="en-US" sz="1400" b="1" i="0" u="none" strike="noStrike" kern="0" cap="none" spc="0" normalizeH="0" baseline="0" noProof="0">
              <a:ln>
                <a:noFill/>
              </a:ln>
              <a:solidFill>
                <a:srgbClr val="00B050"/>
              </a:solidFill>
              <a:effectLst/>
              <a:uLnTx/>
              <a:uFillTx/>
              <a:latin typeface="+mn-lt"/>
              <a:ea typeface="+mn-ea"/>
              <a:cs typeface="+mn-cs"/>
            </a:rPr>
            <a:t>@ </a:t>
          </a:r>
          <a:r>
            <a:rPr lang="en-US" b="1">
              <a:solidFill>
                <a:srgbClr val="00B050"/>
              </a:solidFill>
              <a:effectLst/>
            </a:rPr>
            <a:t>Facebook</a:t>
          </a:r>
          <a:r>
            <a:rPr lang="en-US">
              <a:solidFill>
                <a:srgbClr val="00B050"/>
              </a:solidFill>
            </a:rPr>
            <a:t> has a slightly negative trendline, indicating that higher ad spend may actually reduce engagement. This points to inconsistent or inefficient ad performance.</a:t>
          </a:r>
          <a:br>
            <a:rPr lang="en-US">
              <a:solidFill>
                <a:srgbClr val="00B050"/>
              </a:solidFill>
            </a:rPr>
          </a:br>
          <a:r>
            <a:rPr kumimoji="0" lang="en-US" sz="1400" b="1" i="0" u="none" strike="noStrike" kern="0" cap="none" spc="0" normalizeH="0" baseline="0" noProof="0">
              <a:ln>
                <a:noFill/>
              </a:ln>
              <a:solidFill>
                <a:srgbClr val="00B050"/>
              </a:solidFill>
              <a:effectLst/>
              <a:uLnTx/>
              <a:uFillTx/>
              <a:latin typeface="+mn-lt"/>
              <a:ea typeface="+mn-ea"/>
              <a:cs typeface="+mn-cs"/>
            </a:rPr>
            <a:t>@ </a:t>
          </a:r>
          <a:r>
            <a:rPr lang="en-US" b="1">
              <a:solidFill>
                <a:srgbClr val="00B050"/>
              </a:solidFill>
              <a:effectLst/>
            </a:rPr>
            <a:t>Twitter</a:t>
          </a:r>
          <a:r>
            <a:rPr lang="en-US">
              <a:solidFill>
                <a:srgbClr val="00B050"/>
              </a:solidFill>
            </a:rPr>
            <a:t> maintains low engagement (~5.1%) across all spend levels. The weak slope and low R² value confirm that ad spend has little impact on engagement.</a:t>
          </a:r>
          <a:br>
            <a:rPr lang="en-US">
              <a:solidFill>
                <a:srgbClr val="00B050"/>
              </a:solidFill>
            </a:rPr>
          </a:br>
          <a:r>
            <a:rPr lang="en-US" sz="1100" b="1" i="0" baseline="0">
              <a:solidFill>
                <a:srgbClr val="00B050"/>
              </a:solidFill>
              <a:effectLst/>
              <a:latin typeface="+mn-lt"/>
              <a:ea typeface="+mn-ea"/>
              <a:cs typeface="+mn-cs"/>
            </a:rPr>
            <a:t>@ </a:t>
          </a:r>
          <a:r>
            <a:rPr lang="en-US" b="1">
              <a:solidFill>
                <a:srgbClr val="00B050"/>
              </a:solidFill>
              <a:effectLst/>
            </a:rPr>
            <a:t>YouTube</a:t>
          </a:r>
          <a:r>
            <a:rPr lang="en-US">
              <a:solidFill>
                <a:srgbClr val="00B050"/>
              </a:solidFill>
            </a:rPr>
            <a:t> has the most positive slope among all platforms. While its baseline engagement is slightly lower (~4.8%), it responds better to increased ad spend, showing more predictable ROI.</a:t>
          </a:r>
          <a:br>
            <a:rPr lang="en-US">
              <a:solidFill>
                <a:srgbClr val="00B050"/>
              </a:solidFill>
            </a:rPr>
          </a:br>
          <a:br>
            <a:rPr lang="en-US">
              <a:solidFill>
                <a:srgbClr val="00B050"/>
              </a:solidFill>
            </a:rPr>
          </a:br>
          <a:r>
            <a:rPr lang="en-US">
              <a:solidFill>
                <a:srgbClr val="00B050"/>
              </a:solidFill>
            </a:rPr>
            <a:t>“Engagement rates across platforms show minimal correlation with ad spend. Instagram leads in organic engagement, Facebook’s performance declines with spend, Twitter remains flat, and YouTube offers the most consistent return on investment.”</a:t>
          </a:r>
          <a:br>
            <a:rPr lang="en-US"/>
          </a:br>
          <a:endParaRPr lang="en-US">
            <a:solidFill>
              <a:srgbClr val="00B050"/>
            </a:solidFill>
            <a:effectLst/>
          </a:endParaRPr>
        </a:p>
      </xdr:txBody>
    </xdr:sp>
    <xdr:clientData/>
  </xdr:oneCellAnchor>
  <xdr:oneCellAnchor>
    <xdr:from>
      <xdr:col>4</xdr:col>
      <xdr:colOff>376517</xdr:colOff>
      <xdr:row>103</xdr:row>
      <xdr:rowOff>44822</xdr:rowOff>
    </xdr:from>
    <xdr:ext cx="6490448" cy="2722668"/>
    <xdr:sp macro="" textlink="">
      <xdr:nvSpPr>
        <xdr:cNvPr id="18" name="TextBox 17">
          <a:extLst>
            <a:ext uri="{FF2B5EF4-FFF2-40B4-BE49-F238E27FC236}">
              <a16:creationId xmlns:a16="http://schemas.microsoft.com/office/drawing/2014/main" id="{B9E66767-4B15-4A1E-8E86-DB0BC60A8CE7}"/>
            </a:ext>
          </a:extLst>
        </xdr:cNvPr>
        <xdr:cNvSpPr txBox="1"/>
      </xdr:nvSpPr>
      <xdr:spPr>
        <a:xfrm>
          <a:off x="2169458" y="17274987"/>
          <a:ext cx="6490448" cy="27226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effectLst/>
            </a:rPr>
            <a:t>Based on previous insights:</a:t>
          </a:r>
        </a:p>
        <a:p>
          <a:r>
            <a:rPr lang="en-US" b="1">
              <a:solidFill>
                <a:schemeClr val="accent5">
                  <a:lumMod val="75000"/>
                </a:schemeClr>
              </a:solidFill>
              <a:effectLst/>
            </a:rPr>
            <a:t>@ Engagement vs Ad Spend</a:t>
          </a:r>
          <a:r>
            <a:rPr lang="en-US">
              <a:solidFill>
                <a:schemeClr val="accent5">
                  <a:lumMod val="75000"/>
                </a:schemeClr>
              </a:solidFill>
              <a:effectLst/>
            </a:rPr>
            <a:t>:</a:t>
          </a:r>
        </a:p>
        <a:p>
          <a:pPr lvl="1"/>
          <a:r>
            <a:rPr lang="en-US">
              <a:solidFill>
                <a:schemeClr val="accent5">
                  <a:lumMod val="75000"/>
                </a:schemeClr>
              </a:solidFill>
              <a:effectLst/>
            </a:rPr>
            <a:t>- Twitter shows low engagement and weak ROI.</a:t>
          </a:r>
        </a:p>
        <a:p>
          <a:pPr lvl="1"/>
          <a:r>
            <a:rPr lang="en-US">
              <a:solidFill>
                <a:schemeClr val="accent5">
                  <a:lumMod val="75000"/>
                </a:schemeClr>
              </a:solidFill>
              <a:effectLst/>
            </a:rPr>
            <a:t>- YouTube offers the most consistent return, with engagement improving</a:t>
          </a:r>
          <a:r>
            <a:rPr lang="en-US" baseline="0">
              <a:solidFill>
                <a:schemeClr val="accent5">
                  <a:lumMod val="75000"/>
                </a:schemeClr>
              </a:solidFill>
              <a:effectLst/>
            </a:rPr>
            <a:t> </a:t>
          </a:r>
          <a:r>
            <a:rPr lang="en-US">
              <a:solidFill>
                <a:schemeClr val="accent5">
                  <a:lumMod val="75000"/>
                </a:schemeClr>
              </a:solidFill>
              <a:effectLst/>
            </a:rPr>
            <a:t>slightly as spend increases.</a:t>
          </a:r>
        </a:p>
        <a:p>
          <a:pPr lvl="1"/>
          <a:r>
            <a:rPr lang="en-US">
              <a:solidFill>
                <a:schemeClr val="accent5">
                  <a:lumMod val="75000"/>
                </a:schemeClr>
              </a:solidFill>
              <a:effectLst/>
            </a:rPr>
            <a:t>- Instagram delivers high organic engagement, even with minimal spend.</a:t>
          </a:r>
        </a:p>
        <a:p>
          <a:pPr lvl="1"/>
          <a:r>
            <a:rPr lang="en-US">
              <a:solidFill>
                <a:schemeClr val="accent5">
                  <a:lumMod val="75000"/>
                </a:schemeClr>
              </a:solidFill>
              <a:effectLst/>
            </a:rPr>
            <a:t>- Facebook’s engagement declines with higher spend, but supports broad reach.</a:t>
          </a:r>
        </a:p>
        <a:p>
          <a:r>
            <a:rPr lang="en-US" b="1">
              <a:solidFill>
                <a:schemeClr val="accent5">
                  <a:lumMod val="75000"/>
                </a:schemeClr>
              </a:solidFill>
              <a:effectLst/>
            </a:rPr>
            <a:t>@ Content Format Performance</a:t>
          </a:r>
          <a:r>
            <a:rPr lang="en-US">
              <a:solidFill>
                <a:schemeClr val="accent5">
                  <a:lumMod val="75000"/>
                </a:schemeClr>
              </a:solidFill>
              <a:effectLst/>
            </a:rPr>
            <a:t>:</a:t>
          </a:r>
        </a:p>
        <a:p>
          <a:pPr lvl="1"/>
          <a:r>
            <a:rPr lang="en-US">
              <a:solidFill>
                <a:schemeClr val="accent5">
                  <a:lumMod val="75000"/>
                </a:schemeClr>
              </a:solidFill>
              <a:effectLst/>
            </a:rPr>
            <a:t>- YouTube excels at video-based content like demos and tutorials.</a:t>
          </a:r>
        </a:p>
        <a:p>
          <a:pPr lvl="1"/>
          <a:r>
            <a:rPr lang="en-US">
              <a:solidFill>
                <a:schemeClr val="accent5">
                  <a:lumMod val="75000"/>
                </a:schemeClr>
              </a:solidFill>
              <a:effectLst/>
            </a:rPr>
            <a:t>- Twitter performs best with text and carousel posts, useful for quick updates.</a:t>
          </a:r>
        </a:p>
        <a:p>
          <a:pPr lvl="1"/>
          <a:r>
            <a:rPr lang="en-US">
              <a:solidFill>
                <a:schemeClr val="accent5">
                  <a:lumMod val="75000"/>
                </a:schemeClr>
              </a:solidFill>
              <a:effectLst/>
            </a:rPr>
            <a:t>- Instagram dominates with Reels and Stories — ideal for interactive campaigns.</a:t>
          </a:r>
        </a:p>
        <a:p>
          <a:pPr lvl="1"/>
          <a:r>
            <a:rPr lang="en-US">
              <a:solidFill>
                <a:schemeClr val="accent5">
                  <a:lumMod val="75000"/>
                </a:schemeClr>
              </a:solidFill>
              <a:effectLst/>
            </a:rPr>
            <a:t>- Facebook is effective for paid amplification and community reach.</a:t>
          </a:r>
        </a:p>
        <a:p>
          <a:r>
            <a:rPr lang="en-US" b="1">
              <a:solidFill>
                <a:schemeClr val="accent5">
                  <a:lumMod val="75000"/>
                </a:schemeClr>
              </a:solidFill>
              <a:effectLst/>
            </a:rPr>
            <a:t>@ Follower Growth</a:t>
          </a:r>
          <a:r>
            <a:rPr lang="en-US">
              <a:solidFill>
                <a:schemeClr val="accent5">
                  <a:lumMod val="75000"/>
                </a:schemeClr>
              </a:solidFill>
              <a:effectLst/>
            </a:rPr>
            <a:t>:</a:t>
          </a:r>
        </a:p>
        <a:p>
          <a:pPr lvl="1"/>
          <a:r>
            <a:rPr lang="en-US">
              <a:solidFill>
                <a:schemeClr val="accent5">
                  <a:lumMod val="75000"/>
                </a:schemeClr>
              </a:solidFill>
              <a:effectLst/>
            </a:rPr>
            <a:t>- Instagram leads with 113% growth — more than doubling its audience.</a:t>
          </a:r>
        </a:p>
        <a:p>
          <a:pPr lvl="1"/>
          <a:r>
            <a:rPr lang="en-US">
              <a:solidFill>
                <a:schemeClr val="accent5">
                  <a:lumMod val="75000"/>
                </a:schemeClr>
              </a:solidFill>
              <a:effectLst/>
            </a:rPr>
            <a:t>- Twitter shows solid growth (28%) but lower engagement.</a:t>
          </a:r>
        </a:p>
        <a:p>
          <a:pPr lvl="1"/>
          <a:r>
            <a:rPr lang="en-US">
              <a:solidFill>
                <a:schemeClr val="accent5">
                  <a:lumMod val="75000"/>
                </a:schemeClr>
              </a:solidFill>
              <a:effectLst/>
            </a:rPr>
            <a:t>- Facebook and YouTube have modest growth (~10%).</a:t>
          </a:r>
        </a:p>
      </xdr:txBody>
    </xdr:sp>
    <xdr:clientData/>
  </xdr:oneCellAnchor>
  <xdr:oneCellAnchor>
    <xdr:from>
      <xdr:col>10</xdr:col>
      <xdr:colOff>663386</xdr:colOff>
      <xdr:row>103</xdr:row>
      <xdr:rowOff>26895</xdr:rowOff>
    </xdr:from>
    <xdr:ext cx="6221508" cy="2994212"/>
    <xdr:sp macro="" textlink="">
      <xdr:nvSpPr>
        <xdr:cNvPr id="19" name="TextBox 18">
          <a:extLst>
            <a:ext uri="{FF2B5EF4-FFF2-40B4-BE49-F238E27FC236}">
              <a16:creationId xmlns:a16="http://schemas.microsoft.com/office/drawing/2014/main" id="{A102C30D-3B60-4BF2-AAAB-2B2258C21D20}"/>
            </a:ext>
          </a:extLst>
        </xdr:cNvPr>
        <xdr:cNvSpPr txBox="1"/>
      </xdr:nvSpPr>
      <xdr:spPr>
        <a:xfrm>
          <a:off x="8785410" y="17257060"/>
          <a:ext cx="6221508" cy="2994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Final Recommendation</a:t>
          </a:r>
          <a:r>
            <a:rPr lang="en-US" sz="1400" b="1" baseline="0">
              <a:solidFill>
                <a:schemeClr val="tx1"/>
              </a:solidFill>
            </a:rPr>
            <a:t> :</a:t>
          </a:r>
          <a:br>
            <a:rPr lang="en-US" sz="1400" b="1" baseline="0">
              <a:solidFill>
                <a:schemeClr val="tx1"/>
              </a:solidFill>
            </a:rPr>
          </a:br>
          <a:r>
            <a:rPr lang="en-US" sz="1400" b="1" baseline="0">
              <a:solidFill>
                <a:srgbClr val="00B050"/>
              </a:solidFill>
            </a:rPr>
            <a:t>@ </a:t>
          </a:r>
          <a:r>
            <a:rPr lang="en-US" sz="1200" b="1">
              <a:solidFill>
                <a:srgbClr val="00B050"/>
              </a:solidFill>
              <a:effectLst/>
            </a:rPr>
            <a:t>Myntra should maintain a multi-platform strategy.</a:t>
          </a:r>
          <a:r>
            <a:rPr lang="en-US" sz="1200">
              <a:solidFill>
                <a:srgbClr val="00B050"/>
              </a:solidFill>
              <a:effectLst/>
            </a:rPr>
            <a:t> </a:t>
          </a:r>
          <a:br>
            <a:rPr lang="en-US">
              <a:solidFill>
                <a:srgbClr val="00B050"/>
              </a:solidFill>
              <a:effectLst/>
            </a:rPr>
          </a:br>
          <a:br>
            <a:rPr lang="en-US">
              <a:solidFill>
                <a:srgbClr val="00B050"/>
              </a:solidFill>
              <a:effectLst/>
            </a:rPr>
          </a:br>
          <a:r>
            <a:rPr lang="en-US">
              <a:solidFill>
                <a:srgbClr val="00B050"/>
              </a:solidFill>
              <a:effectLst/>
            </a:rPr>
            <a:t>"While YouTube is ideal for demos and Twitter suits announcements, relying only on these two would limit reach and impact."</a:t>
          </a:r>
          <a:br>
            <a:rPr lang="en-US">
              <a:solidFill>
                <a:srgbClr val="00B050"/>
              </a:solidFill>
              <a:effectLst/>
            </a:rPr>
          </a:br>
          <a:r>
            <a:rPr lang="en-US">
              <a:solidFill>
                <a:srgbClr val="00B050"/>
              </a:solidFill>
              <a:effectLst/>
            </a:rPr>
            <a:t>Here’s why:</a:t>
          </a:r>
        </a:p>
        <a:p>
          <a:r>
            <a:rPr kumimoji="0" lang="en-US" sz="1200" b="1" i="0" u="none" strike="noStrike" kern="0" cap="none" spc="0" normalizeH="0" baseline="0" noProof="0">
              <a:ln>
                <a:noFill/>
              </a:ln>
              <a:solidFill>
                <a:srgbClr val="00B050"/>
              </a:solidFill>
              <a:effectLst/>
              <a:uLnTx/>
              <a:uFillTx/>
              <a:latin typeface="+mn-lt"/>
              <a:ea typeface="+mn-ea"/>
              <a:cs typeface="+mn-cs"/>
            </a:rPr>
            <a:t>- </a:t>
          </a:r>
          <a:r>
            <a:rPr lang="en-US" b="1">
              <a:solidFill>
                <a:srgbClr val="00B050"/>
              </a:solidFill>
              <a:effectLst/>
            </a:rPr>
            <a:t>Instagram</a:t>
          </a:r>
          <a:r>
            <a:rPr lang="en-US">
              <a:solidFill>
                <a:srgbClr val="00B050"/>
              </a:solidFill>
              <a:effectLst/>
            </a:rPr>
            <a:t> is essential for engagement and audience growth — perfect for influencer campaigns and trend-driven content.</a:t>
          </a:r>
        </a:p>
        <a:p>
          <a:r>
            <a:rPr lang="en-US" b="1">
              <a:solidFill>
                <a:srgbClr val="00B050"/>
              </a:solidFill>
              <a:effectLst/>
            </a:rPr>
            <a:t>- YouTube</a:t>
          </a:r>
          <a:r>
            <a:rPr lang="en-US">
              <a:solidFill>
                <a:srgbClr val="00B050"/>
              </a:solidFill>
              <a:effectLst/>
            </a:rPr>
            <a:t> supports long-form storytelling and product education.</a:t>
          </a:r>
        </a:p>
        <a:p>
          <a:r>
            <a:rPr lang="en-US" sz="1100" b="1">
              <a:solidFill>
                <a:srgbClr val="00B050"/>
              </a:solidFill>
              <a:effectLst/>
              <a:latin typeface="+mn-lt"/>
              <a:ea typeface="+mn-ea"/>
              <a:cs typeface="+mn-cs"/>
            </a:rPr>
            <a:t>- </a:t>
          </a:r>
          <a:r>
            <a:rPr lang="en-US" b="1">
              <a:solidFill>
                <a:srgbClr val="00B050"/>
              </a:solidFill>
              <a:effectLst/>
            </a:rPr>
            <a:t>Twitter</a:t>
          </a:r>
          <a:r>
            <a:rPr lang="en-US">
              <a:solidFill>
                <a:srgbClr val="00B050"/>
              </a:solidFill>
              <a:effectLst/>
            </a:rPr>
            <a:t> is useful for immediacy and updates, but not strong enough alone.</a:t>
          </a:r>
        </a:p>
        <a:p>
          <a:r>
            <a:rPr lang="en-US" sz="1100" b="1">
              <a:solidFill>
                <a:srgbClr val="00B050"/>
              </a:solidFill>
              <a:effectLst/>
              <a:latin typeface="+mn-lt"/>
              <a:ea typeface="+mn-ea"/>
              <a:cs typeface="+mn-cs"/>
            </a:rPr>
            <a:t>- </a:t>
          </a:r>
          <a:r>
            <a:rPr lang="en-US" b="1">
              <a:solidFill>
                <a:srgbClr val="00B050"/>
              </a:solidFill>
              <a:effectLst/>
            </a:rPr>
            <a:t>Facebook</a:t>
          </a:r>
          <a:r>
            <a:rPr lang="en-US">
              <a:solidFill>
                <a:srgbClr val="00B050"/>
              </a:solidFill>
              <a:effectLst/>
            </a:rPr>
            <a:t> can amplify reach through paid campaigns and community engagement.</a:t>
          </a:r>
        </a:p>
        <a:p>
          <a:pPr marL="0" marR="0" lvl="0" indent="0" defTabSz="914400" eaLnBrk="1" fontAlgn="auto" latinLnBrk="0" hangingPunct="1">
            <a:lnSpc>
              <a:spcPct val="100000"/>
            </a:lnSpc>
            <a:spcBef>
              <a:spcPts val="0"/>
            </a:spcBef>
            <a:spcAft>
              <a:spcPts val="0"/>
            </a:spcAft>
            <a:buClrTx/>
            <a:buSzTx/>
            <a:buFontTx/>
            <a:buNone/>
            <a:tabLst/>
            <a:defRPr/>
          </a:pPr>
          <a:br>
            <a:rPr lang="en-US">
              <a:solidFill>
                <a:srgbClr val="00B050"/>
              </a:solidFill>
            </a:rPr>
          </a:br>
          <a:r>
            <a:rPr lang="en-US" sz="1200" b="1">
              <a:solidFill>
                <a:srgbClr val="00B050"/>
              </a:solidFill>
            </a:rPr>
            <a:t>“Using all platforms together helps Myntra reach more people and get better results. Instagram is best for engagement, YouTube works well for product demos, Twitter is good for quick updates, and Facebook helps spread the message widely. This mix gives the best return and keeps the audience connected.”</a:t>
          </a:r>
          <a:endParaRPr lang="en-US" b="1">
            <a:solidFill>
              <a:srgbClr val="00B050"/>
            </a:solidFill>
            <a:effectLst/>
          </a:endParaRPr>
        </a:p>
      </xdr:txBody>
    </xdr:sp>
    <xdr:clientData/>
  </xdr:oneCellAnchor>
  <xdr:oneCellAnchor>
    <xdr:from>
      <xdr:col>10</xdr:col>
      <xdr:colOff>466165</xdr:colOff>
      <xdr:row>40</xdr:row>
      <xdr:rowOff>26894</xdr:rowOff>
    </xdr:from>
    <xdr:ext cx="4993084" cy="843821"/>
    <xdr:sp macro="" textlink="">
      <xdr:nvSpPr>
        <xdr:cNvPr id="6" name="TextBox 5">
          <a:extLst>
            <a:ext uri="{FF2B5EF4-FFF2-40B4-BE49-F238E27FC236}">
              <a16:creationId xmlns:a16="http://schemas.microsoft.com/office/drawing/2014/main" id="{39003D0C-8FEE-4EB4-A2A9-621655FA50A5}"/>
            </a:ext>
          </a:extLst>
        </xdr:cNvPr>
        <xdr:cNvSpPr txBox="1"/>
      </xdr:nvSpPr>
      <xdr:spPr>
        <a:xfrm>
          <a:off x="6866965" y="6571129"/>
          <a:ext cx="4993084" cy="843821"/>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0" u="none">
              <a:solidFill>
                <a:schemeClr val="bg2"/>
              </a:solidFill>
            </a:rPr>
            <a:t>NetChanges = NewFollowers - Unfollowers</a:t>
          </a:r>
          <a:br>
            <a:rPr lang="en-US" sz="1200" b="0" u="none">
              <a:solidFill>
                <a:schemeClr val="bg2"/>
              </a:solidFill>
            </a:rPr>
          </a:br>
          <a:r>
            <a:rPr lang="en-US" sz="1200" b="0" u="none">
              <a:solidFill>
                <a:schemeClr val="bg2"/>
              </a:solidFill>
            </a:rPr>
            <a:t>StartFollowers = Followers on "03-06-2024" (First week)</a:t>
          </a:r>
          <a:br>
            <a:rPr lang="en-US" sz="1200" b="0" u="none">
              <a:solidFill>
                <a:schemeClr val="bg2"/>
              </a:solidFill>
            </a:rPr>
          </a:br>
          <a:r>
            <a:rPr lang="en-US" sz="1200" b="0" u="none">
              <a:solidFill>
                <a:schemeClr val="bg2"/>
              </a:solidFill>
            </a:rPr>
            <a:t>EndEstimate = StartFollowers + SUM(NetChange)</a:t>
          </a:r>
          <a:br>
            <a:rPr lang="en-US" sz="1200" b="0" u="none">
              <a:solidFill>
                <a:schemeClr val="bg2"/>
              </a:solidFill>
            </a:rPr>
          </a:br>
          <a:r>
            <a:rPr lang="en-US" sz="1200" b="0" u="none">
              <a:solidFill>
                <a:schemeClr val="bg2"/>
              </a:solidFill>
            </a:rPr>
            <a:t>GrowthRate % = (EndEstimate - StartFollowers) / StartFollowers*100</a:t>
          </a:r>
        </a:p>
      </xdr:txBody>
    </xdr:sp>
    <xdr:clientData/>
  </xdr:oneCellAnchor>
  <xdr:oneCellAnchor>
    <xdr:from>
      <xdr:col>7</xdr:col>
      <xdr:colOff>1138517</xdr:colOff>
      <xdr:row>0</xdr:row>
      <xdr:rowOff>116541</xdr:rowOff>
    </xdr:from>
    <xdr:ext cx="5576047" cy="405432"/>
    <xdr:sp macro="" textlink="">
      <xdr:nvSpPr>
        <xdr:cNvPr id="7" name="TextBox 6">
          <a:extLst>
            <a:ext uri="{FF2B5EF4-FFF2-40B4-BE49-F238E27FC236}">
              <a16:creationId xmlns:a16="http://schemas.microsoft.com/office/drawing/2014/main" id="{6131AB33-1FC5-4127-8A9D-E7D7C92167B8}"/>
            </a:ext>
          </a:extLst>
        </xdr:cNvPr>
        <xdr:cNvSpPr txBox="1"/>
      </xdr:nvSpPr>
      <xdr:spPr>
        <a:xfrm>
          <a:off x="5611905" y="116541"/>
          <a:ext cx="5576047" cy="405432"/>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u="none">
              <a:solidFill>
                <a:schemeClr val="bg2"/>
              </a:solidFill>
            </a:rPr>
            <a:t>TASK</a:t>
          </a:r>
          <a:r>
            <a:rPr lang="en-US" sz="2000" b="1" u="none" baseline="0">
              <a:solidFill>
                <a:schemeClr val="bg2"/>
              </a:solidFill>
            </a:rPr>
            <a:t> 3 - PLATFORM ANALYSIS</a:t>
          </a:r>
          <a:endParaRPr lang="en-US" sz="2000" b="1" u="none">
            <a:solidFill>
              <a:schemeClr val="bg2"/>
            </a:solidFill>
          </a:endParaRPr>
        </a:p>
      </xdr:txBody>
    </xdr:sp>
    <xdr:clientData/>
  </xdr:oneCellAnchor>
  <xdr:oneCellAnchor>
    <xdr:from>
      <xdr:col>8</xdr:col>
      <xdr:colOff>17929</xdr:colOff>
      <xdr:row>5</xdr:row>
      <xdr:rowOff>242049</xdr:rowOff>
    </xdr:from>
    <xdr:ext cx="5509709" cy="342786"/>
    <xdr:sp macro="" textlink="">
      <xdr:nvSpPr>
        <xdr:cNvPr id="8" name="TextBox 7">
          <a:extLst>
            <a:ext uri="{FF2B5EF4-FFF2-40B4-BE49-F238E27FC236}">
              <a16:creationId xmlns:a16="http://schemas.microsoft.com/office/drawing/2014/main" id="{B7B338A3-E7F9-4195-9955-DDEF34AA0426}"/>
            </a:ext>
          </a:extLst>
        </xdr:cNvPr>
        <xdr:cNvSpPr txBox="1"/>
      </xdr:nvSpPr>
      <xdr:spPr>
        <a:xfrm>
          <a:off x="5020235" y="779931"/>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1. Average engagement rate per platform</a:t>
          </a:r>
        </a:p>
      </xdr:txBody>
    </xdr:sp>
    <xdr:clientData/>
  </xdr:oneCellAnchor>
  <xdr:oneCellAnchor>
    <xdr:from>
      <xdr:col>8</xdr:col>
      <xdr:colOff>0</xdr:colOff>
      <xdr:row>37</xdr:row>
      <xdr:rowOff>0</xdr:rowOff>
    </xdr:from>
    <xdr:ext cx="5509709" cy="342786"/>
    <xdr:sp macro="" textlink="">
      <xdr:nvSpPr>
        <xdr:cNvPr id="9" name="TextBox 8">
          <a:extLst>
            <a:ext uri="{FF2B5EF4-FFF2-40B4-BE49-F238E27FC236}">
              <a16:creationId xmlns:a16="http://schemas.microsoft.com/office/drawing/2014/main" id="{74D55659-3178-420A-B166-A42E3F9E7C7B}"/>
            </a:ext>
          </a:extLst>
        </xdr:cNvPr>
        <xdr:cNvSpPr txBox="1"/>
      </xdr:nvSpPr>
      <xdr:spPr>
        <a:xfrm>
          <a:off x="5002306" y="6364941"/>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2. Follower growth rate per plateform</a:t>
          </a:r>
        </a:p>
      </xdr:txBody>
    </xdr:sp>
    <xdr:clientData/>
  </xdr:oneCellAnchor>
  <xdr:oneCellAnchor>
    <xdr:from>
      <xdr:col>8</xdr:col>
      <xdr:colOff>0</xdr:colOff>
      <xdr:row>66</xdr:row>
      <xdr:rowOff>0</xdr:rowOff>
    </xdr:from>
    <xdr:ext cx="5509709" cy="342786"/>
    <xdr:sp macro="" textlink="">
      <xdr:nvSpPr>
        <xdr:cNvPr id="10" name="TextBox 9">
          <a:extLst>
            <a:ext uri="{FF2B5EF4-FFF2-40B4-BE49-F238E27FC236}">
              <a16:creationId xmlns:a16="http://schemas.microsoft.com/office/drawing/2014/main" id="{FB0559CC-AECB-456F-9313-DD97DCF98B7C}"/>
            </a:ext>
          </a:extLst>
        </xdr:cNvPr>
        <xdr:cNvSpPr txBox="1"/>
      </xdr:nvSpPr>
      <xdr:spPr>
        <a:xfrm>
          <a:off x="5002306" y="11205882"/>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3. Visualizing engagement vs ad spend per platform</a:t>
          </a:r>
        </a:p>
      </xdr:txBody>
    </xdr:sp>
    <xdr:clientData/>
  </xdr:oneCellAnchor>
  <xdr:oneCellAnchor>
    <xdr:from>
      <xdr:col>8</xdr:col>
      <xdr:colOff>71718</xdr:colOff>
      <xdr:row>100</xdr:row>
      <xdr:rowOff>8965</xdr:rowOff>
    </xdr:from>
    <xdr:ext cx="5509709" cy="342786"/>
    <xdr:sp macro="" textlink="">
      <xdr:nvSpPr>
        <xdr:cNvPr id="11" name="TextBox 10">
          <a:extLst>
            <a:ext uri="{FF2B5EF4-FFF2-40B4-BE49-F238E27FC236}">
              <a16:creationId xmlns:a16="http://schemas.microsoft.com/office/drawing/2014/main" id="{EB7BDBEA-6D8A-49C9-8B78-C07A7EBAEE5E}"/>
            </a:ext>
          </a:extLst>
        </xdr:cNvPr>
        <xdr:cNvSpPr txBox="1"/>
      </xdr:nvSpPr>
      <xdr:spPr>
        <a:xfrm>
          <a:off x="5683624" y="17059836"/>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4. Strategic Advice</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9</xdr:col>
      <xdr:colOff>370113</xdr:colOff>
      <xdr:row>1</xdr:row>
      <xdr:rowOff>70757</xdr:rowOff>
    </xdr:from>
    <xdr:to>
      <xdr:col>14</xdr:col>
      <xdr:colOff>653141</xdr:colOff>
      <xdr:row>16</xdr:row>
      <xdr:rowOff>38099</xdr:rowOff>
    </xdr:to>
    <xdr:graphicFrame macro="">
      <xdr:nvGraphicFramePr>
        <xdr:cNvPr id="2" name="Chart 1">
          <a:extLst>
            <a:ext uri="{FF2B5EF4-FFF2-40B4-BE49-F238E27FC236}">
              <a16:creationId xmlns:a16="http://schemas.microsoft.com/office/drawing/2014/main" id="{7F600712-D2F0-4391-90CD-F123D5896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370114</xdr:colOff>
      <xdr:row>16</xdr:row>
      <xdr:rowOff>43543</xdr:rowOff>
    </xdr:from>
    <xdr:to>
      <xdr:col>14</xdr:col>
      <xdr:colOff>653142</xdr:colOff>
      <xdr:row>31</xdr:row>
      <xdr:rowOff>10886</xdr:rowOff>
    </xdr:to>
    <xdr:graphicFrame macro="">
      <xdr:nvGraphicFramePr>
        <xdr:cNvPr id="3" name="Chart 2">
          <a:extLst>
            <a:ext uri="{FF2B5EF4-FFF2-40B4-BE49-F238E27FC236}">
              <a16:creationId xmlns:a16="http://schemas.microsoft.com/office/drawing/2014/main" id="{5ABAF5D2-EAC6-4A17-B4D6-F543FAA86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370115</xdr:colOff>
      <xdr:row>31</xdr:row>
      <xdr:rowOff>10885</xdr:rowOff>
    </xdr:from>
    <xdr:to>
      <xdr:col>14</xdr:col>
      <xdr:colOff>653143</xdr:colOff>
      <xdr:row>45</xdr:row>
      <xdr:rowOff>163285</xdr:rowOff>
    </xdr:to>
    <xdr:graphicFrame macro="">
      <xdr:nvGraphicFramePr>
        <xdr:cNvPr id="4" name="Chart 3">
          <a:extLst>
            <a:ext uri="{FF2B5EF4-FFF2-40B4-BE49-F238E27FC236}">
              <a16:creationId xmlns:a16="http://schemas.microsoft.com/office/drawing/2014/main" id="{A7E68BAD-D550-44B9-82E2-2D2545F69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607422</xdr:colOff>
      <xdr:row>1</xdr:row>
      <xdr:rowOff>76201</xdr:rowOff>
    </xdr:from>
    <xdr:to>
      <xdr:col>20</xdr:col>
      <xdr:colOff>119741</xdr:colOff>
      <xdr:row>16</xdr:row>
      <xdr:rowOff>43543</xdr:rowOff>
    </xdr:to>
    <xdr:graphicFrame macro="">
      <xdr:nvGraphicFramePr>
        <xdr:cNvPr id="5" name="Chart 4">
          <a:extLst>
            <a:ext uri="{FF2B5EF4-FFF2-40B4-BE49-F238E27FC236}">
              <a16:creationId xmlns:a16="http://schemas.microsoft.com/office/drawing/2014/main" id="{6D79F29F-14FE-4230-9614-BC5D37F03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8</xdr:col>
      <xdr:colOff>224374</xdr:colOff>
      <xdr:row>7</xdr:row>
      <xdr:rowOff>126594</xdr:rowOff>
    </xdr:from>
    <xdr:ext cx="5862661" cy="1532727"/>
    <xdr:sp macro="" textlink="">
      <xdr:nvSpPr>
        <xdr:cNvPr id="2" name="TextBox 1">
          <a:extLst>
            <a:ext uri="{FF2B5EF4-FFF2-40B4-BE49-F238E27FC236}">
              <a16:creationId xmlns:a16="http://schemas.microsoft.com/office/drawing/2014/main" id="{B4E6F784-A667-4CB6-8F0B-7DBF2AA2D452}"/>
            </a:ext>
          </a:extLst>
        </xdr:cNvPr>
        <xdr:cNvSpPr txBox="1"/>
      </xdr:nvSpPr>
      <xdr:spPr>
        <a:xfrm>
          <a:off x="7790586" y="933418"/>
          <a:ext cx="5862661" cy="1532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sz="1200" b="1" baseline="0">
              <a:solidFill>
                <a:srgbClr val="00B050"/>
              </a:solidFill>
            </a:rPr>
            <a:t>@ </a:t>
          </a:r>
          <a:r>
            <a:rPr lang="en-US" b="1">
              <a:solidFill>
                <a:srgbClr val="00B050"/>
              </a:solidFill>
              <a:effectLst/>
            </a:rPr>
            <a:t>#Stylewithmyntra</a:t>
          </a:r>
          <a:r>
            <a:rPr lang="en-US">
              <a:solidFill>
                <a:srgbClr val="00B050"/>
              </a:solidFill>
              <a:effectLst/>
            </a:rPr>
            <a:t> is the most used hashtag, showing up in </a:t>
          </a:r>
          <a:r>
            <a:rPr lang="en-US" b="1">
              <a:solidFill>
                <a:srgbClr val="00B050"/>
              </a:solidFill>
              <a:effectLst/>
            </a:rPr>
            <a:t>104 posts</a:t>
          </a:r>
          <a:r>
            <a:rPr lang="en-US">
              <a:solidFill>
                <a:srgbClr val="00B050"/>
              </a:solidFill>
              <a:effectLst/>
            </a:rPr>
            <a:t>. This means it’s a key part of Myntra’s branding and probably used for general style inspiration or influencer content.</a:t>
          </a:r>
        </a:p>
        <a:p>
          <a:r>
            <a:rPr lang="en-US" sz="1100" b="1" baseline="0">
              <a:solidFill>
                <a:srgbClr val="00B050"/>
              </a:solidFill>
              <a:effectLst/>
              <a:latin typeface="+mn-lt"/>
              <a:ea typeface="+mn-ea"/>
              <a:cs typeface="+mn-cs"/>
            </a:rPr>
            <a:t>@ </a:t>
          </a:r>
          <a:r>
            <a:rPr lang="en-US" b="1">
              <a:solidFill>
                <a:srgbClr val="00B050"/>
              </a:solidFill>
              <a:effectLst/>
            </a:rPr>
            <a:t>#Myntrasale</a:t>
          </a:r>
          <a:r>
            <a:rPr lang="en-US">
              <a:solidFill>
                <a:srgbClr val="00B050"/>
              </a:solidFill>
              <a:effectLst/>
            </a:rPr>
            <a:t> appears in </a:t>
          </a:r>
          <a:r>
            <a:rPr lang="en-US" b="1">
              <a:solidFill>
                <a:srgbClr val="00B050"/>
              </a:solidFill>
              <a:effectLst/>
            </a:rPr>
            <a:t>97 posts</a:t>
          </a:r>
          <a:r>
            <a:rPr lang="en-US">
              <a:solidFill>
                <a:srgbClr val="00B050"/>
              </a:solidFill>
              <a:effectLst/>
            </a:rPr>
            <a:t>, which makes sense — it’s clearly the go-to tag for promotions, discounts, and seasonal campaigns.</a:t>
          </a:r>
        </a:p>
        <a:p>
          <a:r>
            <a:rPr lang="en-US" sz="1100" b="1" baseline="0">
              <a:solidFill>
                <a:srgbClr val="00B050"/>
              </a:solidFill>
              <a:effectLst/>
              <a:latin typeface="+mn-lt"/>
              <a:ea typeface="+mn-ea"/>
              <a:cs typeface="+mn-cs"/>
            </a:rPr>
            <a:t>@ </a:t>
          </a:r>
          <a:r>
            <a:rPr lang="en-US" b="1">
              <a:solidFill>
                <a:srgbClr val="00B050"/>
              </a:solidFill>
              <a:effectLst/>
            </a:rPr>
            <a:t>#Myntratrend</a:t>
          </a:r>
          <a:r>
            <a:rPr lang="en-US">
              <a:solidFill>
                <a:srgbClr val="00B050"/>
              </a:solidFill>
              <a:effectLst/>
            </a:rPr>
            <a:t> is used in </a:t>
          </a:r>
          <a:r>
            <a:rPr lang="en-US" b="1">
              <a:solidFill>
                <a:srgbClr val="00B050"/>
              </a:solidFill>
              <a:effectLst/>
            </a:rPr>
            <a:t>92 posts</a:t>
          </a:r>
          <a:r>
            <a:rPr lang="en-US">
              <a:solidFill>
                <a:srgbClr val="00B050"/>
              </a:solidFill>
              <a:effectLst/>
            </a:rPr>
            <a:t>, likely tied to trending fashion updates and new arrivals.</a:t>
          </a:r>
        </a:p>
        <a:p>
          <a:r>
            <a:rPr lang="en-US" sz="1100" b="1" baseline="0">
              <a:solidFill>
                <a:srgbClr val="00B050"/>
              </a:solidFill>
              <a:effectLst/>
              <a:latin typeface="+mn-lt"/>
              <a:ea typeface="+mn-ea"/>
              <a:cs typeface="+mn-cs"/>
            </a:rPr>
            <a:t>@ </a:t>
          </a:r>
          <a:r>
            <a:rPr lang="en-US" b="1">
              <a:solidFill>
                <a:srgbClr val="00B050"/>
              </a:solidFill>
              <a:effectLst/>
            </a:rPr>
            <a:t>#Myntrafashion</a:t>
          </a:r>
          <a:r>
            <a:rPr lang="en-US">
              <a:solidFill>
                <a:srgbClr val="00B050"/>
              </a:solidFill>
              <a:effectLst/>
            </a:rPr>
            <a:t> shows up in </a:t>
          </a:r>
          <a:r>
            <a:rPr lang="en-US" b="1">
              <a:solidFill>
                <a:srgbClr val="00B050"/>
              </a:solidFill>
              <a:effectLst/>
            </a:rPr>
            <a:t>83 posts</a:t>
          </a:r>
          <a:r>
            <a:rPr lang="en-US">
              <a:solidFill>
                <a:srgbClr val="00B050"/>
              </a:solidFill>
              <a:effectLst/>
            </a:rPr>
            <a:t>, used for fashion-focused content and product highlights.</a:t>
          </a:r>
        </a:p>
        <a:p>
          <a:r>
            <a:rPr lang="en-US" sz="1100" b="1" baseline="0">
              <a:solidFill>
                <a:srgbClr val="00B050"/>
              </a:solidFill>
              <a:effectLst/>
              <a:latin typeface="+mn-lt"/>
              <a:ea typeface="+mn-ea"/>
              <a:cs typeface="+mn-cs"/>
            </a:rPr>
            <a:t>@ </a:t>
          </a:r>
          <a:r>
            <a:rPr lang="en-US" b="1">
              <a:solidFill>
                <a:srgbClr val="00B050"/>
              </a:solidFill>
              <a:effectLst/>
            </a:rPr>
            <a:t>#Fashiondeals</a:t>
          </a:r>
          <a:r>
            <a:rPr lang="en-US">
              <a:solidFill>
                <a:srgbClr val="00B050"/>
              </a:solidFill>
              <a:effectLst/>
            </a:rPr>
            <a:t> is in </a:t>
          </a:r>
          <a:r>
            <a:rPr lang="en-US" b="1">
              <a:solidFill>
                <a:srgbClr val="00B050"/>
              </a:solidFill>
              <a:effectLst/>
            </a:rPr>
            <a:t>80 posts</a:t>
          </a:r>
          <a:r>
            <a:rPr lang="en-US">
              <a:solidFill>
                <a:srgbClr val="00B050"/>
              </a:solidFill>
              <a:effectLst/>
            </a:rPr>
            <a:t>, supporting sale-related posts and offers.</a:t>
          </a:r>
        </a:p>
      </xdr:txBody>
    </xdr:sp>
    <xdr:clientData/>
  </xdr:oneCellAnchor>
  <xdr:oneCellAnchor>
    <xdr:from>
      <xdr:col>9</xdr:col>
      <xdr:colOff>134471</xdr:colOff>
      <xdr:row>23</xdr:row>
      <xdr:rowOff>89647</xdr:rowOff>
    </xdr:from>
    <xdr:ext cx="5307105" cy="2205989"/>
    <xdr:sp macro="" textlink="">
      <xdr:nvSpPr>
        <xdr:cNvPr id="10" name="TextBox 9">
          <a:extLst>
            <a:ext uri="{FF2B5EF4-FFF2-40B4-BE49-F238E27FC236}">
              <a16:creationId xmlns:a16="http://schemas.microsoft.com/office/drawing/2014/main" id="{FB1A2746-C3FD-4669-8D27-592B051610D6}"/>
            </a:ext>
          </a:extLst>
        </xdr:cNvPr>
        <xdr:cNvSpPr txBox="1"/>
      </xdr:nvSpPr>
      <xdr:spPr>
        <a:xfrm>
          <a:off x="8713695" y="3316941"/>
          <a:ext cx="5307105" cy="22059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sz="1100" b="1" baseline="0">
              <a:solidFill>
                <a:srgbClr val="00B050"/>
              </a:solidFill>
              <a:effectLst/>
              <a:latin typeface="+mn-lt"/>
              <a:ea typeface="+mn-ea"/>
              <a:cs typeface="+mn-cs"/>
            </a:rPr>
            <a:t>@ </a:t>
          </a:r>
          <a:r>
            <a:rPr lang="en-US" sz="1100" b="1">
              <a:solidFill>
                <a:srgbClr val="00B050"/>
              </a:solidFill>
              <a:effectLst/>
            </a:rPr>
            <a:t>#Stylewithmyntra</a:t>
          </a:r>
          <a:r>
            <a:rPr lang="en-US" sz="1100">
              <a:solidFill>
                <a:srgbClr val="00B050"/>
              </a:solidFill>
              <a:effectLst/>
            </a:rPr>
            <a:t> has the </a:t>
          </a:r>
          <a:r>
            <a:rPr lang="en-US" sz="1100" b="1">
              <a:solidFill>
                <a:srgbClr val="00B050"/>
              </a:solidFill>
              <a:effectLst/>
            </a:rPr>
            <a:t>highest engagement rate (15.62%)</a:t>
          </a:r>
          <a:r>
            <a:rPr lang="en-US" sz="1100">
              <a:solidFill>
                <a:srgbClr val="00B050"/>
              </a:solidFill>
              <a:effectLst/>
            </a:rPr>
            <a:t> and </a:t>
          </a:r>
          <a:r>
            <a:rPr lang="en-US" sz="1100" b="1">
              <a:solidFill>
                <a:srgbClr val="00B050"/>
              </a:solidFill>
              <a:effectLst/>
            </a:rPr>
            <a:t>highest total interactions (3662)</a:t>
          </a:r>
          <a:r>
            <a:rPr lang="en-US" sz="1100">
              <a:solidFill>
                <a:srgbClr val="00B050"/>
              </a:solidFill>
              <a:effectLst/>
            </a:rPr>
            <a:t>. It’s also the most used tag (104 posts), making it Myntra’s strongest performer overall.</a:t>
          </a:r>
        </a:p>
        <a:p>
          <a:r>
            <a:rPr lang="en-US" sz="1100" b="1" baseline="0">
              <a:solidFill>
                <a:srgbClr val="00B050"/>
              </a:solidFill>
              <a:effectLst/>
              <a:latin typeface="+mn-lt"/>
              <a:ea typeface="+mn-ea"/>
              <a:cs typeface="+mn-cs"/>
            </a:rPr>
            <a:t>@ </a:t>
          </a:r>
          <a:r>
            <a:rPr lang="en-US" sz="1100" b="1">
              <a:solidFill>
                <a:srgbClr val="00B050"/>
              </a:solidFill>
              <a:effectLst/>
            </a:rPr>
            <a:t>#Myntrasale</a:t>
          </a:r>
          <a:r>
            <a:rPr lang="en-US" sz="1100">
              <a:solidFill>
                <a:srgbClr val="00B050"/>
              </a:solidFill>
              <a:effectLst/>
            </a:rPr>
            <a:t> shows </a:t>
          </a:r>
          <a:r>
            <a:rPr lang="en-US" sz="1100" b="1">
              <a:solidFill>
                <a:srgbClr val="00B050"/>
              </a:solidFill>
              <a:effectLst/>
            </a:rPr>
            <a:t>steady engagement (14.92%)</a:t>
          </a:r>
          <a:r>
            <a:rPr lang="en-US" sz="1100">
              <a:solidFill>
                <a:srgbClr val="00B050"/>
              </a:solidFill>
              <a:effectLst/>
            </a:rPr>
            <a:t> and CTR (1.23%), used in 97 posts. It’s reliable for promotions and sale campaigns.</a:t>
          </a:r>
        </a:p>
        <a:p>
          <a:r>
            <a:rPr lang="en-US" sz="1100" b="1" baseline="0">
              <a:solidFill>
                <a:srgbClr val="00B050"/>
              </a:solidFill>
              <a:effectLst/>
              <a:latin typeface="+mn-lt"/>
              <a:ea typeface="+mn-ea"/>
              <a:cs typeface="+mn-cs"/>
            </a:rPr>
            <a:t>@ </a:t>
          </a:r>
          <a:r>
            <a:rPr lang="en-US" sz="1100" b="1">
              <a:solidFill>
                <a:srgbClr val="00B050"/>
              </a:solidFill>
              <a:effectLst/>
            </a:rPr>
            <a:t>#Myntratrend</a:t>
          </a:r>
          <a:r>
            <a:rPr lang="en-US" sz="1100">
              <a:solidFill>
                <a:srgbClr val="00B050"/>
              </a:solidFill>
              <a:effectLst/>
            </a:rPr>
            <a:t> has the </a:t>
          </a:r>
          <a:r>
            <a:rPr lang="en-US" sz="1100" b="1">
              <a:solidFill>
                <a:srgbClr val="00B050"/>
              </a:solidFill>
              <a:effectLst/>
            </a:rPr>
            <a:t>highest CTR (1.62%)</a:t>
          </a:r>
          <a:r>
            <a:rPr lang="en-US" sz="1100">
              <a:solidFill>
                <a:srgbClr val="00B050"/>
              </a:solidFill>
              <a:effectLst/>
            </a:rPr>
            <a:t>, meaning it drives the most clicks. It’s great for trending updates and product launches.</a:t>
          </a:r>
        </a:p>
        <a:p>
          <a:r>
            <a:rPr lang="en-US" sz="1100" b="1" baseline="0">
              <a:solidFill>
                <a:srgbClr val="00B050"/>
              </a:solidFill>
              <a:effectLst/>
              <a:latin typeface="+mn-lt"/>
              <a:ea typeface="+mn-ea"/>
              <a:cs typeface="+mn-cs"/>
            </a:rPr>
            <a:t>@ </a:t>
          </a:r>
          <a:r>
            <a:rPr lang="en-US" sz="1100" b="1">
              <a:solidFill>
                <a:srgbClr val="00B050"/>
              </a:solidFill>
              <a:effectLst/>
            </a:rPr>
            <a:t>#Myntrafashion</a:t>
          </a:r>
          <a:r>
            <a:rPr lang="en-US" sz="1100">
              <a:solidFill>
                <a:srgbClr val="00B050"/>
              </a:solidFill>
              <a:effectLst/>
            </a:rPr>
            <a:t> performs well across all metrics, with balanced engagement and interaction.</a:t>
          </a:r>
        </a:p>
        <a:p>
          <a:r>
            <a:rPr lang="en-US" sz="1100" b="1" baseline="0">
              <a:solidFill>
                <a:srgbClr val="00B050"/>
              </a:solidFill>
              <a:effectLst/>
              <a:latin typeface="+mn-lt"/>
              <a:ea typeface="+mn-ea"/>
              <a:cs typeface="+mn-cs"/>
            </a:rPr>
            <a:t>@ </a:t>
          </a:r>
          <a:r>
            <a:rPr lang="en-US" sz="1100" b="1">
              <a:solidFill>
                <a:srgbClr val="00B050"/>
              </a:solidFill>
              <a:effectLst/>
            </a:rPr>
            <a:t>#Fashiondeals</a:t>
          </a:r>
          <a:r>
            <a:rPr lang="en-US" sz="1100">
              <a:solidFill>
                <a:srgbClr val="00B050"/>
              </a:solidFill>
              <a:effectLst/>
            </a:rPr>
            <a:t> has the </a:t>
          </a:r>
          <a:r>
            <a:rPr lang="en-US" sz="1100" b="1">
              <a:solidFill>
                <a:srgbClr val="00B050"/>
              </a:solidFill>
              <a:effectLst/>
            </a:rPr>
            <a:t>lowest engagement (13.66%)</a:t>
          </a:r>
          <a:r>
            <a:rPr lang="en-US" sz="1100">
              <a:solidFill>
                <a:srgbClr val="00B050"/>
              </a:solidFill>
              <a:effectLst/>
            </a:rPr>
            <a:t>, suggesting it’s less effective despite being used often.</a:t>
          </a:r>
        </a:p>
      </xdr:txBody>
    </xdr:sp>
    <xdr:clientData/>
  </xdr:oneCellAnchor>
  <xdr:oneCellAnchor>
    <xdr:from>
      <xdr:col>9</xdr:col>
      <xdr:colOff>125506</xdr:colOff>
      <xdr:row>40</xdr:row>
      <xdr:rowOff>80682</xdr:rowOff>
    </xdr:from>
    <xdr:ext cx="5943600" cy="2049407"/>
    <xdr:sp macro="" textlink="">
      <xdr:nvSpPr>
        <xdr:cNvPr id="11" name="TextBox 10">
          <a:extLst>
            <a:ext uri="{FF2B5EF4-FFF2-40B4-BE49-F238E27FC236}">
              <a16:creationId xmlns:a16="http://schemas.microsoft.com/office/drawing/2014/main" id="{8732FFC9-E3F7-4701-9C37-C1A0424687AC}"/>
            </a:ext>
          </a:extLst>
        </xdr:cNvPr>
        <xdr:cNvSpPr txBox="1"/>
      </xdr:nvSpPr>
      <xdr:spPr>
        <a:xfrm>
          <a:off x="8301318" y="6454588"/>
          <a:ext cx="5943600" cy="20494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sz="1200" b="1" baseline="0">
              <a:solidFill>
                <a:srgbClr val="00B050"/>
              </a:solidFill>
            </a:rPr>
            <a:t>@ </a:t>
          </a:r>
          <a:r>
            <a:rPr lang="en-US" b="1">
              <a:solidFill>
                <a:srgbClr val="00B050"/>
              </a:solidFill>
              <a:effectLst/>
            </a:rPr>
            <a:t>Story</a:t>
          </a:r>
          <a:r>
            <a:rPr lang="en-US">
              <a:solidFill>
                <a:srgbClr val="00B050"/>
              </a:solidFill>
              <a:effectLst/>
            </a:rPr>
            <a:t> posts perform best overall — highest engagement rate (</a:t>
          </a:r>
          <a:r>
            <a:rPr lang="en-US" b="1">
              <a:solidFill>
                <a:srgbClr val="00B050"/>
              </a:solidFill>
              <a:effectLst/>
            </a:rPr>
            <a:t>17.86%</a:t>
          </a:r>
          <a:r>
            <a:rPr lang="en-US">
              <a:solidFill>
                <a:srgbClr val="00B050"/>
              </a:solidFill>
              <a:effectLst/>
            </a:rPr>
            <a:t>) and strong interactions. Great for quick, engaging updates.</a:t>
          </a:r>
        </a:p>
        <a:p>
          <a:r>
            <a:rPr lang="en-US" sz="1100" b="1" baseline="0">
              <a:solidFill>
                <a:srgbClr val="00B050"/>
              </a:solidFill>
              <a:effectLst/>
              <a:latin typeface="+mn-lt"/>
              <a:ea typeface="+mn-ea"/>
              <a:cs typeface="+mn-cs"/>
            </a:rPr>
            <a:t>@ </a:t>
          </a:r>
          <a:r>
            <a:rPr lang="en-US" b="1">
              <a:solidFill>
                <a:srgbClr val="00B050"/>
              </a:solidFill>
              <a:effectLst/>
            </a:rPr>
            <a:t>Video</a:t>
          </a:r>
          <a:r>
            <a:rPr lang="en-US">
              <a:solidFill>
                <a:srgbClr val="00B050"/>
              </a:solidFill>
              <a:effectLst/>
            </a:rPr>
            <a:t> content has solid engagement (</a:t>
          </a:r>
          <a:r>
            <a:rPr lang="en-US" b="1">
              <a:solidFill>
                <a:srgbClr val="00B050"/>
              </a:solidFill>
              <a:effectLst/>
            </a:rPr>
            <a:t>15.42%</a:t>
          </a:r>
          <a:r>
            <a:rPr lang="en-US">
              <a:solidFill>
                <a:srgbClr val="00B050"/>
              </a:solidFill>
              <a:effectLst/>
            </a:rPr>
            <a:t>) and the </a:t>
          </a:r>
          <a:r>
            <a:rPr lang="en-US" b="1">
              <a:solidFill>
                <a:srgbClr val="00B050"/>
              </a:solidFill>
              <a:effectLst/>
            </a:rPr>
            <a:t>highest CTR (1.26%)</a:t>
          </a:r>
          <a:r>
            <a:rPr lang="en-US">
              <a:solidFill>
                <a:srgbClr val="00B050"/>
              </a:solidFill>
              <a:effectLst/>
            </a:rPr>
            <a:t>. Ideal for product demos and tutorials.</a:t>
          </a:r>
        </a:p>
        <a:p>
          <a:r>
            <a:rPr lang="en-US" sz="1100" b="1" baseline="0">
              <a:solidFill>
                <a:srgbClr val="00B050"/>
              </a:solidFill>
              <a:effectLst/>
              <a:latin typeface="+mn-lt"/>
              <a:ea typeface="+mn-ea"/>
              <a:cs typeface="+mn-cs"/>
            </a:rPr>
            <a:t>@ </a:t>
          </a:r>
          <a:r>
            <a:rPr lang="en-US" b="1">
              <a:solidFill>
                <a:srgbClr val="00B050"/>
              </a:solidFill>
              <a:effectLst/>
            </a:rPr>
            <a:t>Carousel</a:t>
          </a:r>
          <a:r>
            <a:rPr lang="en-US">
              <a:solidFill>
                <a:srgbClr val="00B050"/>
              </a:solidFill>
              <a:effectLst/>
            </a:rPr>
            <a:t> posts are consistent — good engagement (</a:t>
          </a:r>
          <a:r>
            <a:rPr lang="en-US" b="1">
              <a:solidFill>
                <a:srgbClr val="00B050"/>
              </a:solidFill>
              <a:effectLst/>
            </a:rPr>
            <a:t>15.05%</a:t>
          </a:r>
          <a:r>
            <a:rPr lang="en-US">
              <a:solidFill>
                <a:srgbClr val="00B050"/>
              </a:solidFill>
              <a:effectLst/>
            </a:rPr>
            <a:t>) and interactions. Best for showcasing multiple products.</a:t>
          </a:r>
        </a:p>
        <a:p>
          <a:r>
            <a:rPr lang="en-US" sz="1100" b="1" baseline="0">
              <a:solidFill>
                <a:srgbClr val="00B050"/>
              </a:solidFill>
              <a:effectLst/>
              <a:latin typeface="+mn-lt"/>
              <a:ea typeface="+mn-ea"/>
              <a:cs typeface="+mn-cs"/>
            </a:rPr>
            <a:t>@ </a:t>
          </a:r>
          <a:r>
            <a:rPr lang="en-US" b="1">
              <a:solidFill>
                <a:srgbClr val="00B050"/>
              </a:solidFill>
              <a:effectLst/>
            </a:rPr>
            <a:t>Reels</a:t>
          </a:r>
          <a:r>
            <a:rPr lang="en-US">
              <a:solidFill>
                <a:srgbClr val="00B050"/>
              </a:solidFill>
              <a:effectLst/>
            </a:rPr>
            <a:t> are strong too — good balance of engagement and CTR. Work well for trend-driven content.</a:t>
          </a:r>
        </a:p>
        <a:p>
          <a:r>
            <a:rPr lang="en-US" sz="1100" b="1" baseline="0">
              <a:solidFill>
                <a:srgbClr val="00B050"/>
              </a:solidFill>
              <a:effectLst/>
              <a:latin typeface="+mn-lt"/>
              <a:ea typeface="+mn-ea"/>
              <a:cs typeface="+mn-cs"/>
            </a:rPr>
            <a:t>@ </a:t>
          </a:r>
          <a:r>
            <a:rPr lang="en-US" b="1">
              <a:solidFill>
                <a:srgbClr val="00B050"/>
              </a:solidFill>
              <a:effectLst/>
            </a:rPr>
            <a:t>Images</a:t>
          </a:r>
          <a:r>
            <a:rPr lang="en-US">
              <a:solidFill>
                <a:srgbClr val="00B050"/>
              </a:solidFill>
              <a:effectLst/>
            </a:rPr>
            <a:t> have lower engagement (</a:t>
          </a:r>
          <a:r>
            <a:rPr lang="en-US" b="1">
              <a:solidFill>
                <a:srgbClr val="00B050"/>
              </a:solidFill>
              <a:effectLst/>
            </a:rPr>
            <a:t>13.44%</a:t>
          </a:r>
          <a:r>
            <a:rPr lang="en-US">
              <a:solidFill>
                <a:srgbClr val="00B050"/>
              </a:solidFill>
              <a:effectLst/>
            </a:rPr>
            <a:t>) but surprisingly high CTR (</a:t>
          </a:r>
          <a:r>
            <a:rPr lang="en-US" b="1">
              <a:solidFill>
                <a:srgbClr val="00B050"/>
              </a:solidFill>
              <a:effectLst/>
            </a:rPr>
            <a:t>1.51%</a:t>
          </a:r>
          <a:r>
            <a:rPr lang="en-US">
              <a:solidFill>
                <a:srgbClr val="00B050"/>
              </a:solidFill>
              <a:effectLst/>
            </a:rPr>
            <a:t>), meaning they grab attention quickly.</a:t>
          </a:r>
        </a:p>
        <a:p>
          <a:r>
            <a:rPr lang="en-US" sz="1100" b="1" baseline="0">
              <a:solidFill>
                <a:srgbClr val="00B050"/>
              </a:solidFill>
              <a:effectLst/>
              <a:latin typeface="+mn-lt"/>
              <a:ea typeface="+mn-ea"/>
              <a:cs typeface="+mn-cs"/>
            </a:rPr>
            <a:t>@ </a:t>
          </a:r>
          <a:r>
            <a:rPr lang="en-US" b="1">
              <a:solidFill>
                <a:srgbClr val="00B050"/>
              </a:solidFill>
              <a:effectLst/>
            </a:rPr>
            <a:t>Text</a:t>
          </a:r>
          <a:r>
            <a:rPr lang="en-US">
              <a:solidFill>
                <a:srgbClr val="00B050"/>
              </a:solidFill>
              <a:effectLst/>
            </a:rPr>
            <a:t> posts perform the weakest across all metrics. Use sparingly or only for quick updates.</a:t>
          </a:r>
        </a:p>
      </xdr:txBody>
    </xdr:sp>
    <xdr:clientData/>
  </xdr:oneCellAnchor>
  <xdr:twoCellAnchor>
    <xdr:from>
      <xdr:col>5</xdr:col>
      <xdr:colOff>26893</xdr:colOff>
      <xdr:row>59</xdr:row>
      <xdr:rowOff>1</xdr:rowOff>
    </xdr:from>
    <xdr:to>
      <xdr:col>15</xdr:col>
      <xdr:colOff>484093</xdr:colOff>
      <xdr:row>88</xdr:row>
      <xdr:rowOff>170329</xdr:rowOff>
    </xdr:to>
    <xdr:graphicFrame macro="">
      <xdr:nvGraphicFramePr>
        <xdr:cNvPr id="18" name="Chart 17">
          <a:extLst>
            <a:ext uri="{FF2B5EF4-FFF2-40B4-BE49-F238E27FC236}">
              <a16:creationId xmlns:a16="http://schemas.microsoft.com/office/drawing/2014/main" id="{B7AC80D7-3925-45BA-80D7-5FCF493F9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62754</xdr:colOff>
      <xdr:row>89</xdr:row>
      <xdr:rowOff>125506</xdr:rowOff>
    </xdr:from>
    <xdr:ext cx="12075458" cy="2518895"/>
    <xdr:sp macro="" textlink="">
      <xdr:nvSpPr>
        <xdr:cNvPr id="19" name="TextBox 18">
          <a:extLst>
            <a:ext uri="{FF2B5EF4-FFF2-40B4-BE49-F238E27FC236}">
              <a16:creationId xmlns:a16="http://schemas.microsoft.com/office/drawing/2014/main" id="{3D469D3D-580F-4833-8CFD-6982F0EB6C7B}"/>
            </a:ext>
          </a:extLst>
        </xdr:cNvPr>
        <xdr:cNvSpPr txBox="1"/>
      </xdr:nvSpPr>
      <xdr:spPr>
        <a:xfrm>
          <a:off x="3594848" y="15464118"/>
          <a:ext cx="12075458" cy="2518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sz="1400" b="1">
              <a:solidFill>
                <a:schemeClr val="accent6">
                  <a:lumMod val="75000"/>
                </a:schemeClr>
              </a:solidFill>
              <a:effectLst/>
            </a:rPr>
            <a:t>Platform-wise content recommendations</a:t>
          </a:r>
          <a:endParaRPr lang="en-US" sz="1200" b="1">
            <a:solidFill>
              <a:schemeClr val="accent6">
                <a:lumMod val="75000"/>
              </a:schemeClr>
            </a:solidFill>
            <a:effectLst/>
          </a:endParaRPr>
        </a:p>
        <a:p>
          <a:r>
            <a:rPr lang="en-US" sz="1100" b="1" baseline="0">
              <a:solidFill>
                <a:srgbClr val="00B050"/>
              </a:solidFill>
              <a:effectLst/>
              <a:latin typeface="+mn-lt"/>
              <a:ea typeface="+mn-ea"/>
              <a:cs typeface="+mn-cs"/>
            </a:rPr>
            <a:t>@ </a:t>
          </a:r>
          <a:r>
            <a:rPr lang="en-US" sz="1200" b="1">
              <a:solidFill>
                <a:srgbClr val="00B050"/>
              </a:solidFill>
              <a:effectLst/>
            </a:rPr>
            <a:t>Instagram</a:t>
          </a:r>
          <a:r>
            <a:rPr lang="en-US" sz="1200">
              <a:solidFill>
                <a:srgbClr val="00B050"/>
              </a:solidFill>
              <a:effectLst/>
            </a:rPr>
            <a:t> → Prioritize </a:t>
          </a:r>
          <a:r>
            <a:rPr lang="en-US" sz="1200" b="1">
              <a:solidFill>
                <a:srgbClr val="00B050"/>
              </a:solidFill>
              <a:effectLst/>
            </a:rPr>
            <a:t>Reels, Stories, and Videos</a:t>
          </a:r>
          <a:r>
            <a:rPr lang="en-US" sz="1200">
              <a:solidFill>
                <a:srgbClr val="00B050"/>
              </a:solidFill>
              <a:effectLst/>
            </a:rPr>
            <a:t> 🔹 Highest engagement (22%+) and CTR (up to 2.96%) 🔹 Strong interaction volume 🔹 Best for visual storytelling and influencer content</a:t>
          </a:r>
        </a:p>
        <a:p>
          <a:r>
            <a:rPr lang="en-US" sz="1100" b="1" baseline="0">
              <a:solidFill>
                <a:srgbClr val="00B050"/>
              </a:solidFill>
              <a:effectLst/>
              <a:latin typeface="+mn-lt"/>
              <a:ea typeface="+mn-ea"/>
              <a:cs typeface="+mn-cs"/>
            </a:rPr>
            <a:t>@ </a:t>
          </a:r>
          <a:r>
            <a:rPr lang="en-US" sz="1200" b="1">
              <a:solidFill>
                <a:srgbClr val="00B050"/>
              </a:solidFill>
              <a:effectLst/>
            </a:rPr>
            <a:t>Facebook</a:t>
          </a:r>
          <a:r>
            <a:rPr lang="en-US" sz="1200">
              <a:solidFill>
                <a:srgbClr val="00B050"/>
              </a:solidFill>
              <a:effectLst/>
            </a:rPr>
            <a:t> → Focus on </a:t>
          </a:r>
          <a:r>
            <a:rPr lang="en-US" sz="1200" b="1">
              <a:solidFill>
                <a:srgbClr val="00B050"/>
              </a:solidFill>
              <a:effectLst/>
            </a:rPr>
            <a:t>Stories and Videos</a:t>
          </a:r>
          <a:r>
            <a:rPr lang="en-US" sz="1200">
              <a:solidFill>
                <a:srgbClr val="00B050"/>
              </a:solidFill>
              <a:effectLst/>
            </a:rPr>
            <a:t> 🔹 Stories lead in engagement (16.23%) 🔹 Videos drive high interaction (3998+) 🔹 Ideal for retention and broad reach</a:t>
          </a:r>
        </a:p>
        <a:p>
          <a:r>
            <a:rPr lang="en-US" sz="1100" b="1" baseline="0">
              <a:solidFill>
                <a:srgbClr val="00B050"/>
              </a:solidFill>
              <a:effectLst/>
              <a:latin typeface="+mn-lt"/>
              <a:ea typeface="+mn-ea"/>
              <a:cs typeface="+mn-cs"/>
            </a:rPr>
            <a:t>@ </a:t>
          </a:r>
          <a:r>
            <a:rPr lang="en-US" sz="1200" b="1">
              <a:solidFill>
                <a:srgbClr val="00B050"/>
              </a:solidFill>
              <a:effectLst/>
            </a:rPr>
            <a:t>Twitter</a:t>
          </a:r>
          <a:r>
            <a:rPr lang="en-US" sz="1200">
              <a:solidFill>
                <a:srgbClr val="00B050"/>
              </a:solidFill>
              <a:effectLst/>
            </a:rPr>
            <a:t> → Use </a:t>
          </a:r>
          <a:r>
            <a:rPr lang="en-US" sz="1200" b="1">
              <a:solidFill>
                <a:srgbClr val="00B050"/>
              </a:solidFill>
              <a:effectLst/>
            </a:rPr>
            <a:t>Stories and Images</a:t>
          </a:r>
          <a:r>
            <a:rPr lang="en-US" sz="1200">
              <a:solidFill>
                <a:srgbClr val="00B050"/>
              </a:solidFill>
              <a:effectLst/>
            </a:rPr>
            <a:t> 🔹 Stories have top engagement (20.27%) 🔹 Images have highest CTR (2.92%) 🔹 Best for quick updates and visual hooks</a:t>
          </a:r>
        </a:p>
        <a:p>
          <a:r>
            <a:rPr lang="en-US" sz="1100" b="1" baseline="0">
              <a:solidFill>
                <a:srgbClr val="00B050"/>
              </a:solidFill>
              <a:effectLst/>
              <a:latin typeface="+mn-lt"/>
              <a:ea typeface="+mn-ea"/>
              <a:cs typeface="+mn-cs"/>
            </a:rPr>
            <a:t>@ </a:t>
          </a:r>
          <a:r>
            <a:rPr lang="en-US" sz="1200" b="1">
              <a:solidFill>
                <a:srgbClr val="00B050"/>
              </a:solidFill>
              <a:effectLst/>
            </a:rPr>
            <a:t>YouTube</a:t>
          </a:r>
          <a:r>
            <a:rPr lang="en-US" sz="1200">
              <a:solidFill>
                <a:srgbClr val="00B050"/>
              </a:solidFill>
              <a:effectLst/>
            </a:rPr>
            <a:t> → Prioritize </a:t>
          </a:r>
          <a:r>
            <a:rPr lang="en-US" sz="1200" b="1">
              <a:solidFill>
                <a:srgbClr val="00B050"/>
              </a:solidFill>
              <a:effectLst/>
            </a:rPr>
            <a:t>Carousels and Videos</a:t>
          </a:r>
          <a:r>
            <a:rPr lang="en-US" sz="1200">
              <a:solidFill>
                <a:srgbClr val="00B050"/>
              </a:solidFill>
              <a:effectLst/>
            </a:rPr>
            <a:t> 🔹 Carousels show strong engagement (18.12%) 🔹 Videos drive consistent interaction 🔹 Great for long-form and product showcases</a:t>
          </a:r>
        </a:p>
        <a:p>
          <a:endParaRPr lang="en-US" sz="1200">
            <a:solidFill>
              <a:srgbClr val="00B050"/>
            </a:solidFill>
            <a:effectLst/>
          </a:endParaRPr>
        </a:p>
        <a:p>
          <a:r>
            <a:rPr lang="en-US" sz="1400" b="1">
              <a:solidFill>
                <a:schemeClr val="accent1">
                  <a:lumMod val="75000"/>
                </a:schemeClr>
              </a:solidFill>
              <a:effectLst/>
            </a:rPr>
            <a:t>Each platform has its own sweet spot:</a:t>
          </a:r>
        </a:p>
        <a:p>
          <a:r>
            <a:rPr kumimoji="0" lang="en-US" sz="1100" b="1" i="0" u="none" strike="noStrike" kern="0" cap="none" spc="0" normalizeH="0" baseline="0" noProof="0">
              <a:ln>
                <a:noFill/>
              </a:ln>
              <a:solidFill>
                <a:srgbClr val="00B050"/>
              </a:solidFill>
              <a:effectLst/>
              <a:uLnTx/>
              <a:uFillTx/>
              <a:latin typeface="+mn-lt"/>
              <a:ea typeface="+mn-ea"/>
              <a:cs typeface="+mn-cs"/>
            </a:rPr>
            <a:t>@ </a:t>
          </a:r>
          <a:r>
            <a:rPr lang="en-US" sz="1200" b="1">
              <a:solidFill>
                <a:srgbClr val="00B050"/>
              </a:solidFill>
              <a:effectLst/>
            </a:rPr>
            <a:t>Instagram</a:t>
          </a:r>
          <a:r>
            <a:rPr lang="en-US" sz="1200">
              <a:solidFill>
                <a:srgbClr val="00B050"/>
              </a:solidFill>
              <a:effectLst/>
            </a:rPr>
            <a:t> works best with </a:t>
          </a:r>
          <a:r>
            <a:rPr lang="en-US" sz="1200" b="1">
              <a:solidFill>
                <a:srgbClr val="00B050"/>
              </a:solidFill>
              <a:effectLst/>
            </a:rPr>
            <a:t>Reels and Videos</a:t>
          </a:r>
          <a:r>
            <a:rPr lang="en-US" sz="1200">
              <a:solidFill>
                <a:srgbClr val="00B050"/>
              </a:solidFill>
              <a:effectLst/>
            </a:rPr>
            <a:t> — they get the most engagement and clicks.</a:t>
          </a:r>
        </a:p>
        <a:p>
          <a:r>
            <a:rPr lang="en-US" sz="1100" b="1" i="0" baseline="0">
              <a:solidFill>
                <a:srgbClr val="00B050"/>
              </a:solidFill>
              <a:effectLst/>
              <a:latin typeface="+mn-lt"/>
              <a:ea typeface="+mn-ea"/>
              <a:cs typeface="+mn-cs"/>
            </a:rPr>
            <a:t>@ </a:t>
          </a:r>
          <a:r>
            <a:rPr lang="en-US" sz="1200" b="1">
              <a:solidFill>
                <a:srgbClr val="00B050"/>
              </a:solidFill>
              <a:effectLst/>
            </a:rPr>
            <a:t>Facebook</a:t>
          </a:r>
          <a:r>
            <a:rPr lang="en-US" sz="1200">
              <a:solidFill>
                <a:srgbClr val="00B050"/>
              </a:solidFill>
              <a:effectLst/>
            </a:rPr>
            <a:t> responds well to </a:t>
          </a:r>
          <a:r>
            <a:rPr lang="en-US" sz="1200" b="1">
              <a:solidFill>
                <a:srgbClr val="00B050"/>
              </a:solidFill>
              <a:effectLst/>
            </a:rPr>
            <a:t>Stories and Videos</a:t>
          </a:r>
          <a:r>
            <a:rPr lang="en-US" sz="1200">
              <a:solidFill>
                <a:srgbClr val="00B050"/>
              </a:solidFill>
              <a:effectLst/>
            </a:rPr>
            <a:t>, especially for keeping users engaged.</a:t>
          </a:r>
        </a:p>
        <a:p>
          <a:r>
            <a:rPr lang="en-US" sz="1100" b="1" i="0" baseline="0">
              <a:solidFill>
                <a:srgbClr val="00B050"/>
              </a:solidFill>
              <a:effectLst/>
              <a:latin typeface="+mn-lt"/>
              <a:ea typeface="+mn-ea"/>
              <a:cs typeface="+mn-cs"/>
            </a:rPr>
            <a:t>@ </a:t>
          </a:r>
          <a:r>
            <a:rPr lang="en-US" sz="1200" b="1">
              <a:solidFill>
                <a:srgbClr val="00B050"/>
              </a:solidFill>
              <a:effectLst/>
            </a:rPr>
            <a:t>Twitter</a:t>
          </a:r>
          <a:r>
            <a:rPr lang="en-US" sz="1200">
              <a:solidFill>
                <a:srgbClr val="00B050"/>
              </a:solidFill>
              <a:effectLst/>
            </a:rPr>
            <a:t> favors </a:t>
          </a:r>
          <a:r>
            <a:rPr lang="en-US" sz="1200" b="1">
              <a:solidFill>
                <a:srgbClr val="00B050"/>
              </a:solidFill>
              <a:effectLst/>
            </a:rPr>
            <a:t>Stories and Images</a:t>
          </a:r>
          <a:r>
            <a:rPr lang="en-US" sz="1200">
              <a:solidFill>
                <a:srgbClr val="00B050"/>
              </a:solidFill>
              <a:effectLst/>
            </a:rPr>
            <a:t> — quick, visual content performs best there.</a:t>
          </a:r>
        </a:p>
        <a:p>
          <a:r>
            <a:rPr lang="en-US" sz="1100" b="1" i="0" baseline="0">
              <a:solidFill>
                <a:srgbClr val="00B050"/>
              </a:solidFill>
              <a:effectLst/>
              <a:latin typeface="+mn-lt"/>
              <a:ea typeface="+mn-ea"/>
              <a:cs typeface="+mn-cs"/>
            </a:rPr>
            <a:t>@ </a:t>
          </a:r>
          <a:r>
            <a:rPr lang="en-US" sz="1200" b="1">
              <a:solidFill>
                <a:srgbClr val="00B050"/>
              </a:solidFill>
              <a:effectLst/>
            </a:rPr>
            <a:t>YouTube</a:t>
          </a:r>
          <a:r>
            <a:rPr lang="en-US" sz="1200">
              <a:solidFill>
                <a:srgbClr val="00B050"/>
              </a:solidFill>
              <a:effectLst/>
            </a:rPr>
            <a:t> does well with </a:t>
          </a:r>
          <a:r>
            <a:rPr lang="en-US" sz="1200" b="1">
              <a:solidFill>
                <a:srgbClr val="00B050"/>
              </a:solidFill>
              <a:effectLst/>
            </a:rPr>
            <a:t>Carousels and Videos</a:t>
          </a:r>
          <a:r>
            <a:rPr lang="en-US" sz="1200">
              <a:solidFill>
                <a:srgbClr val="00B050"/>
              </a:solidFill>
              <a:effectLst/>
            </a:rPr>
            <a:t> — great for showcasing products or longer content.</a:t>
          </a:r>
        </a:p>
      </xdr:txBody>
    </xdr:sp>
    <xdr:clientData/>
  </xdr:oneCellAnchor>
  <xdr:oneCellAnchor>
    <xdr:from>
      <xdr:col>7</xdr:col>
      <xdr:colOff>44824</xdr:colOff>
      <xdr:row>0</xdr:row>
      <xdr:rowOff>116541</xdr:rowOff>
    </xdr:from>
    <xdr:ext cx="5522258" cy="405432"/>
    <xdr:sp macro="" textlink="">
      <xdr:nvSpPr>
        <xdr:cNvPr id="3" name="TextBox 2">
          <a:extLst>
            <a:ext uri="{FF2B5EF4-FFF2-40B4-BE49-F238E27FC236}">
              <a16:creationId xmlns:a16="http://schemas.microsoft.com/office/drawing/2014/main" id="{713DD97C-E6E1-4D90-9DE9-DF19C475D40F}"/>
            </a:ext>
          </a:extLst>
        </xdr:cNvPr>
        <xdr:cNvSpPr txBox="1"/>
      </xdr:nvSpPr>
      <xdr:spPr>
        <a:xfrm>
          <a:off x="5683624" y="116541"/>
          <a:ext cx="5522258" cy="405432"/>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u="none">
              <a:solidFill>
                <a:schemeClr val="bg2"/>
              </a:solidFill>
            </a:rPr>
            <a:t>TASK</a:t>
          </a:r>
          <a:r>
            <a:rPr lang="en-US" sz="2000" b="1" u="none" baseline="0">
              <a:solidFill>
                <a:schemeClr val="bg2"/>
              </a:solidFill>
            </a:rPr>
            <a:t> 4 - HASHTAG &amp; CONTENT STRATEGY</a:t>
          </a:r>
          <a:endParaRPr lang="en-US" sz="2000" b="1" u="none">
            <a:solidFill>
              <a:schemeClr val="bg2"/>
            </a:solidFill>
          </a:endParaRPr>
        </a:p>
      </xdr:txBody>
    </xdr:sp>
    <xdr:clientData/>
  </xdr:oneCellAnchor>
  <xdr:oneCellAnchor>
    <xdr:from>
      <xdr:col>7</xdr:col>
      <xdr:colOff>62753</xdr:colOff>
      <xdr:row>5</xdr:row>
      <xdr:rowOff>62754</xdr:rowOff>
    </xdr:from>
    <xdr:ext cx="5509709" cy="342786"/>
    <xdr:sp macro="" textlink="">
      <xdr:nvSpPr>
        <xdr:cNvPr id="4" name="TextBox 3">
          <a:extLst>
            <a:ext uri="{FF2B5EF4-FFF2-40B4-BE49-F238E27FC236}">
              <a16:creationId xmlns:a16="http://schemas.microsoft.com/office/drawing/2014/main" id="{E1AC4A2C-FCF5-49BE-9D0D-7B6035F8D631}"/>
            </a:ext>
          </a:extLst>
        </xdr:cNvPr>
        <xdr:cNvSpPr txBox="1"/>
      </xdr:nvSpPr>
      <xdr:spPr>
        <a:xfrm>
          <a:off x="5701553" y="959225"/>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1. Most frequently used Myntra hashtags</a:t>
          </a:r>
        </a:p>
      </xdr:txBody>
    </xdr:sp>
    <xdr:clientData/>
  </xdr:oneCellAnchor>
  <xdr:oneCellAnchor>
    <xdr:from>
      <xdr:col>7</xdr:col>
      <xdr:colOff>0</xdr:colOff>
      <xdr:row>21</xdr:row>
      <xdr:rowOff>0</xdr:rowOff>
    </xdr:from>
    <xdr:ext cx="5509709" cy="342786"/>
    <xdr:sp macro="" textlink="">
      <xdr:nvSpPr>
        <xdr:cNvPr id="5" name="TextBox 4">
          <a:extLst>
            <a:ext uri="{FF2B5EF4-FFF2-40B4-BE49-F238E27FC236}">
              <a16:creationId xmlns:a16="http://schemas.microsoft.com/office/drawing/2014/main" id="{0522CB7C-8F5F-424F-817D-EF8235D8A262}"/>
            </a:ext>
          </a:extLst>
        </xdr:cNvPr>
        <xdr:cNvSpPr txBox="1"/>
      </xdr:nvSpPr>
      <xdr:spPr>
        <a:xfrm>
          <a:off x="6445624" y="3316941"/>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2. Average performance of posts containing each hashtag</a:t>
          </a:r>
        </a:p>
      </xdr:txBody>
    </xdr:sp>
    <xdr:clientData/>
  </xdr:oneCellAnchor>
  <xdr:oneCellAnchor>
    <xdr:from>
      <xdr:col>7</xdr:col>
      <xdr:colOff>0</xdr:colOff>
      <xdr:row>38</xdr:row>
      <xdr:rowOff>0</xdr:rowOff>
    </xdr:from>
    <xdr:ext cx="5509709" cy="342786"/>
    <xdr:sp macro="" textlink="">
      <xdr:nvSpPr>
        <xdr:cNvPr id="6" name="TextBox 5">
          <a:extLst>
            <a:ext uri="{FF2B5EF4-FFF2-40B4-BE49-F238E27FC236}">
              <a16:creationId xmlns:a16="http://schemas.microsoft.com/office/drawing/2014/main" id="{99EF83BD-ECEF-4088-A1A4-8CE96E15D453}"/>
            </a:ext>
          </a:extLst>
        </xdr:cNvPr>
        <xdr:cNvSpPr txBox="1"/>
      </xdr:nvSpPr>
      <xdr:spPr>
        <a:xfrm>
          <a:off x="6445624" y="6463553"/>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3. Content performance</a:t>
          </a:r>
        </a:p>
      </xdr:txBody>
    </xdr:sp>
    <xdr:clientData/>
  </xdr:oneCellAnchor>
  <xdr:oneCellAnchor>
    <xdr:from>
      <xdr:col>7</xdr:col>
      <xdr:colOff>53789</xdr:colOff>
      <xdr:row>55</xdr:row>
      <xdr:rowOff>170329</xdr:rowOff>
    </xdr:from>
    <xdr:ext cx="5509709" cy="342786"/>
    <xdr:sp macro="" textlink="">
      <xdr:nvSpPr>
        <xdr:cNvPr id="7" name="TextBox 6">
          <a:extLst>
            <a:ext uri="{FF2B5EF4-FFF2-40B4-BE49-F238E27FC236}">
              <a16:creationId xmlns:a16="http://schemas.microsoft.com/office/drawing/2014/main" id="{8753B2A1-B294-4059-9449-7E83F74A58D0}"/>
            </a:ext>
          </a:extLst>
        </xdr:cNvPr>
        <xdr:cNvSpPr txBox="1"/>
      </xdr:nvSpPr>
      <xdr:spPr>
        <a:xfrm>
          <a:off x="5782236" y="11663082"/>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4. Recommend content type priorities per platform</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9</xdr:col>
      <xdr:colOff>89904</xdr:colOff>
      <xdr:row>7</xdr:row>
      <xdr:rowOff>144525</xdr:rowOff>
    </xdr:from>
    <xdr:ext cx="4993084" cy="1877181"/>
    <xdr:sp macro="" textlink="">
      <xdr:nvSpPr>
        <xdr:cNvPr id="2" name="TextBox 1">
          <a:extLst>
            <a:ext uri="{FF2B5EF4-FFF2-40B4-BE49-F238E27FC236}">
              <a16:creationId xmlns:a16="http://schemas.microsoft.com/office/drawing/2014/main" id="{2B87246B-54D0-4341-A413-305D3EC28216}"/>
            </a:ext>
          </a:extLst>
        </xdr:cNvPr>
        <xdr:cNvSpPr txBox="1"/>
      </xdr:nvSpPr>
      <xdr:spPr>
        <a:xfrm>
          <a:off x="10354492" y="1130643"/>
          <a:ext cx="4993084" cy="18771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sz="1200" b="1" baseline="0">
              <a:solidFill>
                <a:srgbClr val="00B050"/>
              </a:solidFill>
            </a:rPr>
            <a:t>@ </a:t>
          </a:r>
          <a:r>
            <a:rPr lang="en-US" b="1">
              <a:solidFill>
                <a:srgbClr val="00B050"/>
              </a:solidFill>
              <a:effectLst/>
            </a:rPr>
            <a:t>FashionUpgrade</a:t>
          </a:r>
          <a:r>
            <a:rPr lang="en-US">
              <a:solidFill>
                <a:srgbClr val="00B050"/>
              </a:solidFill>
              <a:effectLst/>
            </a:rPr>
            <a:t> had the highest average likes (3020), showing strong audience interest.</a:t>
          </a:r>
        </a:p>
        <a:p>
          <a:r>
            <a:rPr lang="en-US" sz="1100" b="1" baseline="0">
              <a:solidFill>
                <a:srgbClr val="00B050"/>
              </a:solidFill>
              <a:effectLst/>
              <a:latin typeface="+mn-lt"/>
              <a:ea typeface="+mn-ea"/>
              <a:cs typeface="+mn-cs"/>
            </a:rPr>
            <a:t>@ </a:t>
          </a:r>
          <a:r>
            <a:rPr lang="en-US" b="1">
              <a:solidFill>
                <a:srgbClr val="00B050"/>
              </a:solidFill>
              <a:effectLst/>
            </a:rPr>
            <a:t>EndOfSeasonSale</a:t>
          </a:r>
          <a:r>
            <a:rPr lang="en-US">
              <a:solidFill>
                <a:srgbClr val="00B050"/>
              </a:solidFill>
              <a:effectLst/>
            </a:rPr>
            <a:t> led in total likes (329,664), meaning it reached more people overall.</a:t>
          </a:r>
        </a:p>
        <a:p>
          <a:r>
            <a:rPr lang="en-US" sz="1100" b="1" baseline="0">
              <a:solidFill>
                <a:srgbClr val="00B050"/>
              </a:solidFill>
              <a:effectLst/>
              <a:latin typeface="+mn-lt"/>
              <a:ea typeface="+mn-ea"/>
              <a:cs typeface="+mn-cs"/>
            </a:rPr>
            <a:t>@ </a:t>
          </a:r>
          <a:r>
            <a:rPr lang="en-US" b="1">
              <a:solidFill>
                <a:srgbClr val="00B050"/>
              </a:solidFill>
              <a:effectLst/>
            </a:rPr>
            <a:t>StyleRevolution</a:t>
          </a:r>
          <a:r>
            <a:rPr lang="en-US">
              <a:solidFill>
                <a:srgbClr val="00B050"/>
              </a:solidFill>
              <a:effectLst/>
            </a:rPr>
            <a:t> had the highest average engagement rate (16.46%), suggesting deeper interaction per post.</a:t>
          </a:r>
        </a:p>
        <a:p>
          <a:r>
            <a:rPr lang="en-US" sz="1100" b="1" baseline="0">
              <a:solidFill>
                <a:srgbClr val="00B050"/>
              </a:solidFill>
              <a:effectLst/>
              <a:latin typeface="+mn-lt"/>
              <a:ea typeface="+mn-ea"/>
              <a:cs typeface="+mn-cs"/>
            </a:rPr>
            <a:t>@ </a:t>
          </a:r>
          <a:r>
            <a:rPr lang="en-US" b="1">
              <a:solidFill>
                <a:srgbClr val="00B050"/>
              </a:solidFill>
              <a:effectLst/>
            </a:rPr>
            <a:t>MyntraFestiveEdit</a:t>
          </a:r>
          <a:r>
            <a:rPr lang="en-US">
              <a:solidFill>
                <a:srgbClr val="00B050"/>
              </a:solidFill>
              <a:effectLst/>
            </a:rPr>
            <a:t> was balanced across all metrics — solid performance without extremes.</a:t>
          </a:r>
        </a:p>
        <a:p>
          <a:r>
            <a:rPr lang="en-US">
              <a:solidFill>
                <a:srgbClr val="00B050"/>
              </a:solidFill>
              <a:effectLst/>
            </a:rPr>
            <a:t>Overall, campaigns with </a:t>
          </a:r>
          <a:r>
            <a:rPr lang="en-US" b="1">
              <a:solidFill>
                <a:srgbClr val="00B050"/>
              </a:solidFill>
              <a:effectLst/>
            </a:rPr>
            <a:t>Stories and Reels</a:t>
          </a:r>
          <a:r>
            <a:rPr lang="en-US">
              <a:solidFill>
                <a:srgbClr val="00B050"/>
              </a:solidFill>
              <a:effectLst/>
            </a:rPr>
            <a:t> tended to drive higher engagement rates.</a:t>
          </a:r>
        </a:p>
      </xdr:txBody>
    </xdr:sp>
    <xdr:clientData/>
  </xdr:oneCellAnchor>
  <xdr:twoCellAnchor>
    <xdr:from>
      <xdr:col>2</xdr:col>
      <xdr:colOff>1104900</xdr:colOff>
      <xdr:row>17</xdr:row>
      <xdr:rowOff>167640</xdr:rowOff>
    </xdr:from>
    <xdr:to>
      <xdr:col>9</xdr:col>
      <xdr:colOff>0</xdr:colOff>
      <xdr:row>32</xdr:row>
      <xdr:rowOff>143436</xdr:rowOff>
    </xdr:to>
    <xdr:graphicFrame macro="">
      <xdr:nvGraphicFramePr>
        <xdr:cNvPr id="10" name="Chart 9">
          <a:extLst>
            <a:ext uri="{FF2B5EF4-FFF2-40B4-BE49-F238E27FC236}">
              <a16:creationId xmlns:a16="http://schemas.microsoft.com/office/drawing/2014/main" id="{5B35536B-8527-9C6D-150B-E3FD54111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466165</xdr:colOff>
      <xdr:row>42</xdr:row>
      <xdr:rowOff>98612</xdr:rowOff>
    </xdr:from>
    <xdr:ext cx="3890682" cy="1438727"/>
    <xdr:sp macro="" textlink="">
      <xdr:nvSpPr>
        <xdr:cNvPr id="11" name="TextBox 10">
          <a:extLst>
            <a:ext uri="{FF2B5EF4-FFF2-40B4-BE49-F238E27FC236}">
              <a16:creationId xmlns:a16="http://schemas.microsoft.com/office/drawing/2014/main" id="{52EA4088-3D30-4959-89A7-7FD02A2CC288}"/>
            </a:ext>
          </a:extLst>
        </xdr:cNvPr>
        <xdr:cNvSpPr txBox="1"/>
      </xdr:nvSpPr>
      <xdr:spPr>
        <a:xfrm>
          <a:off x="7243483" y="7593106"/>
          <a:ext cx="3890682" cy="1438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sz="1200" b="1" baseline="0">
              <a:solidFill>
                <a:srgbClr val="00B050"/>
              </a:solidFill>
            </a:rPr>
            <a:t>@ </a:t>
          </a:r>
          <a:r>
            <a:rPr lang="en-US" sz="1200" b="1">
              <a:solidFill>
                <a:srgbClr val="00B050"/>
              </a:solidFill>
              <a:effectLst/>
            </a:rPr>
            <a:t>MyntraFestiveEdit</a:t>
          </a:r>
          <a:r>
            <a:rPr lang="en-US" sz="1200">
              <a:solidFill>
                <a:srgbClr val="00B050"/>
              </a:solidFill>
              <a:effectLst/>
            </a:rPr>
            <a:t> showed the strongest uplift (+53.9%), proving festive content drives deeper engagement.</a:t>
          </a:r>
        </a:p>
        <a:p>
          <a:r>
            <a:rPr lang="en-US" sz="1100" b="1" baseline="0">
              <a:solidFill>
                <a:srgbClr val="00B050"/>
              </a:solidFill>
              <a:effectLst/>
              <a:latin typeface="+mn-lt"/>
              <a:ea typeface="+mn-ea"/>
              <a:cs typeface="+mn-cs"/>
            </a:rPr>
            <a:t>@ </a:t>
          </a:r>
          <a:r>
            <a:rPr lang="en-US" sz="1200" b="1">
              <a:solidFill>
                <a:srgbClr val="00B050"/>
              </a:solidFill>
              <a:effectLst/>
            </a:rPr>
            <a:t>FashionUpgrade</a:t>
          </a:r>
          <a:r>
            <a:rPr lang="en-US" sz="1200">
              <a:solidFill>
                <a:srgbClr val="00B050"/>
              </a:solidFill>
              <a:effectLst/>
            </a:rPr>
            <a:t> and </a:t>
          </a:r>
          <a:r>
            <a:rPr lang="en-US" sz="1200" b="1">
              <a:solidFill>
                <a:srgbClr val="00B050"/>
              </a:solidFill>
              <a:effectLst/>
            </a:rPr>
            <a:t>StyleRevolution</a:t>
          </a:r>
          <a:r>
            <a:rPr lang="en-US" sz="1200">
              <a:solidFill>
                <a:srgbClr val="00B050"/>
              </a:solidFill>
              <a:effectLst/>
            </a:rPr>
            <a:t> had slight drops, suggesting creative fatigue or platform mismatch.</a:t>
          </a:r>
        </a:p>
        <a:p>
          <a:r>
            <a:rPr lang="en-US" sz="1100" b="1" baseline="0">
              <a:solidFill>
                <a:srgbClr val="00B050"/>
              </a:solidFill>
              <a:effectLst/>
              <a:latin typeface="+mn-lt"/>
              <a:ea typeface="+mn-ea"/>
              <a:cs typeface="+mn-cs"/>
            </a:rPr>
            <a:t>@ </a:t>
          </a:r>
          <a:r>
            <a:rPr lang="en-US" sz="1200" b="1">
              <a:solidFill>
                <a:srgbClr val="00B050"/>
              </a:solidFill>
              <a:effectLst/>
            </a:rPr>
            <a:t>EndOfSeasonSale</a:t>
          </a:r>
          <a:r>
            <a:rPr lang="en-US" sz="1200">
              <a:solidFill>
                <a:srgbClr val="00B050"/>
              </a:solidFill>
              <a:effectLst/>
            </a:rPr>
            <a:t> dropped sharply (−60%), likely due to overuse or weaker content formats.</a:t>
          </a:r>
        </a:p>
      </xdr:txBody>
    </xdr:sp>
    <xdr:clientData/>
  </xdr:oneCellAnchor>
  <xdr:twoCellAnchor>
    <xdr:from>
      <xdr:col>3</xdr:col>
      <xdr:colOff>22860</xdr:colOff>
      <xdr:row>68</xdr:row>
      <xdr:rowOff>114300</xdr:rowOff>
    </xdr:from>
    <xdr:to>
      <xdr:col>7</xdr:col>
      <xdr:colOff>0</xdr:colOff>
      <xdr:row>78</xdr:row>
      <xdr:rowOff>152400</xdr:rowOff>
    </xdr:to>
    <xdr:graphicFrame macro="">
      <xdr:nvGraphicFramePr>
        <xdr:cNvPr id="16" name="Chart 15">
          <a:extLst>
            <a:ext uri="{FF2B5EF4-FFF2-40B4-BE49-F238E27FC236}">
              <a16:creationId xmlns:a16="http://schemas.microsoft.com/office/drawing/2014/main" id="{B2A57A60-AAAC-21FA-180D-AEC4A9F0E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358588</xdr:colOff>
      <xdr:row>61</xdr:row>
      <xdr:rowOff>125506</xdr:rowOff>
    </xdr:from>
    <xdr:ext cx="5002306" cy="1438727"/>
    <xdr:sp macro="" textlink="">
      <xdr:nvSpPr>
        <xdr:cNvPr id="17" name="TextBox 16">
          <a:extLst>
            <a:ext uri="{FF2B5EF4-FFF2-40B4-BE49-F238E27FC236}">
              <a16:creationId xmlns:a16="http://schemas.microsoft.com/office/drawing/2014/main" id="{9C7C8BBC-F750-4D9E-9409-1469E72FF4B7}"/>
            </a:ext>
          </a:extLst>
        </xdr:cNvPr>
        <xdr:cNvSpPr txBox="1"/>
      </xdr:nvSpPr>
      <xdr:spPr>
        <a:xfrm>
          <a:off x="8489576" y="10757647"/>
          <a:ext cx="5002306" cy="1438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sz="1200" b="1" baseline="0">
              <a:solidFill>
                <a:srgbClr val="00B050"/>
              </a:solidFill>
            </a:rPr>
            <a:t>@ </a:t>
          </a:r>
          <a:r>
            <a:rPr lang="en-US" sz="1200" b="1">
              <a:solidFill>
                <a:srgbClr val="00B050"/>
              </a:solidFill>
              <a:effectLst/>
            </a:rPr>
            <a:t>FashionUpgrade</a:t>
          </a:r>
          <a:r>
            <a:rPr lang="en-US" sz="1200">
              <a:solidFill>
                <a:srgbClr val="00B050"/>
              </a:solidFill>
            </a:rPr>
            <a:t> delivered the highest ROI at 2.64 interactions per rupee spent, making it the most efficient campaign.</a:t>
          </a:r>
        </a:p>
        <a:p>
          <a:r>
            <a:rPr lang="en-US" sz="1100" b="1" baseline="0">
              <a:solidFill>
                <a:srgbClr val="00B050"/>
              </a:solidFill>
              <a:effectLst/>
              <a:latin typeface="+mn-lt"/>
              <a:ea typeface="+mn-ea"/>
              <a:cs typeface="+mn-cs"/>
            </a:rPr>
            <a:t>@</a:t>
          </a:r>
          <a:r>
            <a:rPr lang="en-US" sz="1200">
              <a:solidFill>
                <a:srgbClr val="00B050"/>
              </a:solidFill>
            </a:rPr>
            <a:t> </a:t>
          </a:r>
          <a:r>
            <a:rPr lang="en-US" sz="1200" b="1">
              <a:solidFill>
                <a:srgbClr val="00B050"/>
              </a:solidFill>
              <a:effectLst/>
            </a:rPr>
            <a:t>EndOfSeasonSale</a:t>
          </a:r>
          <a:r>
            <a:rPr lang="en-US" sz="1200">
              <a:solidFill>
                <a:srgbClr val="00B050"/>
              </a:solidFill>
            </a:rPr>
            <a:t> followed with 2.35 ROI, showing solid performance. </a:t>
          </a:r>
        </a:p>
        <a:p>
          <a:r>
            <a:rPr lang="en-US" sz="1200" b="1">
              <a:solidFill>
                <a:srgbClr val="00B050"/>
              </a:solidFill>
              <a:effectLst/>
            </a:rPr>
            <a:t>@ StyleRevolution</a:t>
          </a:r>
          <a:r>
            <a:rPr lang="en-US" sz="1200">
              <a:solidFill>
                <a:srgbClr val="00B050"/>
              </a:solidFill>
            </a:rPr>
            <a:t> had moderate ROI (2.11) but lower engagement volume.</a:t>
          </a:r>
        </a:p>
        <a:p>
          <a:r>
            <a:rPr lang="en-US" sz="1100" b="1" baseline="0">
              <a:solidFill>
                <a:srgbClr val="00B050"/>
              </a:solidFill>
              <a:effectLst/>
              <a:latin typeface="+mn-lt"/>
              <a:ea typeface="+mn-ea"/>
              <a:cs typeface="+mn-cs"/>
            </a:rPr>
            <a:t>@</a:t>
          </a:r>
          <a:r>
            <a:rPr lang="en-US" sz="1200">
              <a:solidFill>
                <a:srgbClr val="00B050"/>
              </a:solidFill>
            </a:rPr>
            <a:t> </a:t>
          </a:r>
          <a:r>
            <a:rPr lang="en-US" sz="1200" b="1">
              <a:solidFill>
                <a:srgbClr val="00B050"/>
              </a:solidFill>
              <a:effectLst/>
            </a:rPr>
            <a:t>MyntraFestiveEdit</a:t>
          </a:r>
          <a:r>
            <a:rPr lang="en-US" sz="1200">
              <a:solidFill>
                <a:srgbClr val="00B050"/>
              </a:solidFill>
            </a:rPr>
            <a:t>, despite strong engagement uplift, had the lowest ROI (1.92) due to its higher budget, suggesting room for spend optimization.</a:t>
          </a:r>
          <a:endParaRPr lang="en-US" sz="1200">
            <a:solidFill>
              <a:srgbClr val="00B050"/>
            </a:solidFill>
            <a:effectLst/>
          </a:endParaRPr>
        </a:p>
      </xdr:txBody>
    </xdr:sp>
    <xdr:clientData/>
  </xdr:oneCellAnchor>
  <xdr:twoCellAnchor>
    <xdr:from>
      <xdr:col>5</xdr:col>
      <xdr:colOff>183777</xdr:colOff>
      <xdr:row>84</xdr:row>
      <xdr:rowOff>143436</xdr:rowOff>
    </xdr:from>
    <xdr:to>
      <xdr:col>11</xdr:col>
      <xdr:colOff>251460</xdr:colOff>
      <xdr:row>99</xdr:row>
      <xdr:rowOff>60960</xdr:rowOff>
    </xdr:to>
    <xdr:graphicFrame macro="">
      <xdr:nvGraphicFramePr>
        <xdr:cNvPr id="18" name="Chart 17">
          <a:extLst>
            <a:ext uri="{FF2B5EF4-FFF2-40B4-BE49-F238E27FC236}">
              <a16:creationId xmlns:a16="http://schemas.microsoft.com/office/drawing/2014/main" id="{D361472E-5761-0458-6815-43258D79C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0</xdr:colOff>
      <xdr:row>100</xdr:row>
      <xdr:rowOff>0</xdr:rowOff>
    </xdr:from>
    <xdr:ext cx="5204460" cy="1062983"/>
    <xdr:sp macro="" textlink="">
      <xdr:nvSpPr>
        <xdr:cNvPr id="19" name="TextBox 18">
          <a:extLst>
            <a:ext uri="{FF2B5EF4-FFF2-40B4-BE49-F238E27FC236}">
              <a16:creationId xmlns:a16="http://schemas.microsoft.com/office/drawing/2014/main" id="{10E5A1C1-387D-4858-9BEE-72BD2BEF9AF1}"/>
            </a:ext>
          </a:extLst>
        </xdr:cNvPr>
        <xdr:cNvSpPr txBox="1"/>
      </xdr:nvSpPr>
      <xdr:spPr>
        <a:xfrm>
          <a:off x="1120140" y="19484340"/>
          <a:ext cx="5204460" cy="1062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sz="1200" b="1" baseline="0">
              <a:solidFill>
                <a:srgbClr val="00B050"/>
              </a:solidFill>
            </a:rPr>
            <a:t>@ </a:t>
          </a:r>
          <a:r>
            <a:rPr lang="en-US" sz="1200" b="1">
              <a:solidFill>
                <a:srgbClr val="00B050"/>
              </a:solidFill>
              <a:effectLst/>
            </a:rPr>
            <a:t>StyleRevolution</a:t>
          </a:r>
          <a:r>
            <a:rPr lang="en-US" sz="1200">
              <a:solidFill>
                <a:srgbClr val="00B050"/>
              </a:solidFill>
              <a:effectLst/>
            </a:rPr>
            <a:t> added the most followers (</a:t>
          </a:r>
          <a:r>
            <a:rPr lang="en-US" sz="1200" b="1">
              <a:solidFill>
                <a:srgbClr val="00B050"/>
              </a:solidFill>
              <a:effectLst/>
            </a:rPr>
            <a:t>9,875</a:t>
          </a:r>
          <a:r>
            <a:rPr lang="en-US" sz="1200">
              <a:solidFill>
                <a:srgbClr val="00B050"/>
              </a:solidFill>
              <a:effectLst/>
            </a:rPr>
            <a:t>) — strongest growth overall</a:t>
          </a:r>
        </a:p>
        <a:p>
          <a:r>
            <a:rPr lang="en-US" sz="1100" b="1" baseline="0">
              <a:solidFill>
                <a:srgbClr val="00B050"/>
              </a:solidFill>
              <a:effectLst/>
              <a:latin typeface="+mn-lt"/>
              <a:ea typeface="+mn-ea"/>
              <a:cs typeface="+mn-cs"/>
            </a:rPr>
            <a:t>@ </a:t>
          </a:r>
          <a:r>
            <a:rPr lang="en-US" sz="1200" b="1">
              <a:solidFill>
                <a:srgbClr val="00B050"/>
              </a:solidFill>
              <a:effectLst/>
            </a:rPr>
            <a:t>MyntraFestiveEdit</a:t>
          </a:r>
          <a:r>
            <a:rPr lang="en-US" sz="1200">
              <a:solidFill>
                <a:srgbClr val="00B050"/>
              </a:solidFill>
              <a:effectLst/>
            </a:rPr>
            <a:t> came second (</a:t>
          </a:r>
          <a:r>
            <a:rPr lang="en-US" sz="1200" b="1">
              <a:solidFill>
                <a:srgbClr val="00B050"/>
              </a:solidFill>
              <a:effectLst/>
            </a:rPr>
            <a:t>8,643</a:t>
          </a:r>
          <a:r>
            <a:rPr lang="en-US" sz="1200">
              <a:solidFill>
                <a:srgbClr val="00B050"/>
              </a:solidFill>
              <a:effectLst/>
            </a:rPr>
            <a:t>) — festive content worked well</a:t>
          </a:r>
        </a:p>
        <a:p>
          <a:r>
            <a:rPr lang="en-US" sz="1100" b="1" baseline="0">
              <a:solidFill>
                <a:srgbClr val="00B050"/>
              </a:solidFill>
              <a:effectLst/>
              <a:latin typeface="+mn-lt"/>
              <a:ea typeface="+mn-ea"/>
              <a:cs typeface="+mn-cs"/>
            </a:rPr>
            <a:t>@ </a:t>
          </a:r>
          <a:r>
            <a:rPr lang="en-US" sz="1200" b="1">
              <a:solidFill>
                <a:srgbClr val="00B050"/>
              </a:solidFill>
              <a:effectLst/>
            </a:rPr>
            <a:t>EndOfSeasonSale</a:t>
          </a:r>
          <a:r>
            <a:rPr lang="en-US" sz="1200">
              <a:solidFill>
                <a:srgbClr val="00B050"/>
              </a:solidFill>
              <a:effectLst/>
            </a:rPr>
            <a:t> added </a:t>
          </a:r>
          <a:r>
            <a:rPr lang="en-US" sz="1200" b="1">
              <a:solidFill>
                <a:srgbClr val="00B050"/>
              </a:solidFill>
              <a:effectLst/>
            </a:rPr>
            <a:t>6,219</a:t>
          </a:r>
          <a:r>
            <a:rPr lang="en-US" sz="1200">
              <a:solidFill>
                <a:srgbClr val="00B050"/>
              </a:solidFill>
              <a:effectLst/>
            </a:rPr>
            <a:t> — mostly from Facebook</a:t>
          </a:r>
        </a:p>
        <a:p>
          <a:r>
            <a:rPr lang="en-US" sz="1100" b="1" baseline="0">
              <a:solidFill>
                <a:srgbClr val="00B050"/>
              </a:solidFill>
              <a:effectLst/>
              <a:latin typeface="+mn-lt"/>
              <a:ea typeface="+mn-ea"/>
              <a:cs typeface="+mn-cs"/>
            </a:rPr>
            <a:t>@ </a:t>
          </a:r>
          <a:r>
            <a:rPr lang="en-US" sz="1200" b="1">
              <a:solidFill>
                <a:srgbClr val="00B050"/>
              </a:solidFill>
              <a:effectLst/>
            </a:rPr>
            <a:t>FashionUpgrade</a:t>
          </a:r>
          <a:r>
            <a:rPr lang="en-US" sz="1200">
              <a:solidFill>
                <a:srgbClr val="00B050"/>
              </a:solidFill>
              <a:effectLst/>
            </a:rPr>
            <a:t> had the lowest growth (</a:t>
          </a:r>
          <a:r>
            <a:rPr lang="en-US" sz="1200" b="1">
              <a:solidFill>
                <a:srgbClr val="00B050"/>
              </a:solidFill>
              <a:effectLst/>
            </a:rPr>
            <a:t>4,931</a:t>
          </a:r>
          <a:r>
            <a:rPr lang="en-US" sz="1200">
              <a:solidFill>
                <a:srgbClr val="00B050"/>
              </a:solidFill>
              <a:effectLst/>
            </a:rPr>
            <a:t>) — efficient but less reach</a:t>
          </a:r>
        </a:p>
      </xdr:txBody>
    </xdr:sp>
    <xdr:clientData/>
  </xdr:oneCellAnchor>
  <xdr:oneCellAnchor>
    <xdr:from>
      <xdr:col>4</xdr:col>
      <xdr:colOff>854784</xdr:colOff>
      <xdr:row>5</xdr:row>
      <xdr:rowOff>90993</xdr:rowOff>
    </xdr:from>
    <xdr:ext cx="5509709" cy="342786"/>
    <xdr:sp macro="" textlink="">
      <xdr:nvSpPr>
        <xdr:cNvPr id="20" name="TextBox 19">
          <a:extLst>
            <a:ext uri="{FF2B5EF4-FFF2-40B4-BE49-F238E27FC236}">
              <a16:creationId xmlns:a16="http://schemas.microsoft.com/office/drawing/2014/main" id="{60EA5A4D-9A8A-4350-BE8E-11C76B26156C}"/>
            </a:ext>
          </a:extLst>
        </xdr:cNvPr>
        <xdr:cNvSpPr txBox="1"/>
      </xdr:nvSpPr>
      <xdr:spPr>
        <a:xfrm>
          <a:off x="5507466" y="987464"/>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1. Total &amp; Average Impressions, Likes, Clicks per Campaign</a:t>
          </a:r>
        </a:p>
      </xdr:txBody>
    </xdr:sp>
    <xdr:clientData/>
  </xdr:oneCellAnchor>
  <xdr:oneCellAnchor>
    <xdr:from>
      <xdr:col>4</xdr:col>
      <xdr:colOff>1076662</xdr:colOff>
      <xdr:row>37</xdr:row>
      <xdr:rowOff>107578</xdr:rowOff>
    </xdr:from>
    <xdr:ext cx="4993084" cy="342786"/>
    <xdr:sp macro="" textlink="">
      <xdr:nvSpPr>
        <xdr:cNvPr id="5" name="TextBox 4">
          <a:extLst>
            <a:ext uri="{FF2B5EF4-FFF2-40B4-BE49-F238E27FC236}">
              <a16:creationId xmlns:a16="http://schemas.microsoft.com/office/drawing/2014/main" id="{DEC31603-8CE4-40F9-8455-30EE44B17A68}"/>
            </a:ext>
          </a:extLst>
        </xdr:cNvPr>
        <xdr:cNvSpPr txBox="1"/>
      </xdr:nvSpPr>
      <xdr:spPr>
        <a:xfrm>
          <a:off x="5729344" y="6920754"/>
          <a:ext cx="4993084"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2. Engagement uplift during vs. before campaigns </a:t>
          </a:r>
        </a:p>
      </xdr:txBody>
    </xdr:sp>
    <xdr:clientData/>
  </xdr:oneCellAnchor>
  <xdr:oneCellAnchor>
    <xdr:from>
      <xdr:col>4</xdr:col>
      <xdr:colOff>1048872</xdr:colOff>
      <xdr:row>59</xdr:row>
      <xdr:rowOff>53787</xdr:rowOff>
    </xdr:from>
    <xdr:ext cx="4993084" cy="342786"/>
    <xdr:sp macro="" textlink="">
      <xdr:nvSpPr>
        <xdr:cNvPr id="6" name="TextBox 5">
          <a:extLst>
            <a:ext uri="{FF2B5EF4-FFF2-40B4-BE49-F238E27FC236}">
              <a16:creationId xmlns:a16="http://schemas.microsoft.com/office/drawing/2014/main" id="{4EA97F88-2A4B-4B38-A7BC-5F71B2D1E37F}"/>
            </a:ext>
          </a:extLst>
        </xdr:cNvPr>
        <xdr:cNvSpPr txBox="1"/>
      </xdr:nvSpPr>
      <xdr:spPr>
        <a:xfrm>
          <a:off x="5701554" y="10954869"/>
          <a:ext cx="4993084"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3. ROI (Engagement vs Spend)</a:t>
          </a:r>
        </a:p>
      </xdr:txBody>
    </xdr:sp>
    <xdr:clientData/>
  </xdr:oneCellAnchor>
  <xdr:oneCellAnchor>
    <xdr:from>
      <xdr:col>4</xdr:col>
      <xdr:colOff>1084729</xdr:colOff>
      <xdr:row>82</xdr:row>
      <xdr:rowOff>80682</xdr:rowOff>
    </xdr:from>
    <xdr:ext cx="4993084" cy="342786"/>
    <xdr:sp macro="" textlink="">
      <xdr:nvSpPr>
        <xdr:cNvPr id="7" name="TextBox 6">
          <a:extLst>
            <a:ext uri="{FF2B5EF4-FFF2-40B4-BE49-F238E27FC236}">
              <a16:creationId xmlns:a16="http://schemas.microsoft.com/office/drawing/2014/main" id="{F8FF6BF2-2D3E-4BC8-8F9F-34AA285E27FA}"/>
            </a:ext>
          </a:extLst>
        </xdr:cNvPr>
        <xdr:cNvSpPr txBox="1"/>
      </xdr:nvSpPr>
      <xdr:spPr>
        <a:xfrm>
          <a:off x="5737411" y="15204141"/>
          <a:ext cx="4993084"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600" b="1" u="sng">
              <a:solidFill>
                <a:schemeClr val="tx1"/>
              </a:solidFill>
              <a:latin typeface="+mn-lt"/>
              <a:ea typeface="+mn-ea"/>
              <a:cs typeface="+mn-cs"/>
            </a:rPr>
            <a:t>4. Campaign VS Followers Growth</a:t>
          </a:r>
        </a:p>
      </xdr:txBody>
    </xdr:sp>
    <xdr:clientData/>
  </xdr:oneCellAnchor>
  <xdr:oneCellAnchor>
    <xdr:from>
      <xdr:col>7</xdr:col>
      <xdr:colOff>493059</xdr:colOff>
      <xdr:row>40</xdr:row>
      <xdr:rowOff>35859</xdr:rowOff>
    </xdr:from>
    <xdr:ext cx="4993084" cy="280205"/>
    <xdr:sp macro="" textlink="">
      <xdr:nvSpPr>
        <xdr:cNvPr id="8" name="TextBox 7">
          <a:extLst>
            <a:ext uri="{FF2B5EF4-FFF2-40B4-BE49-F238E27FC236}">
              <a16:creationId xmlns:a16="http://schemas.microsoft.com/office/drawing/2014/main" id="{BCBC5E05-C928-4151-A0F1-38139C865867}"/>
            </a:ext>
          </a:extLst>
        </xdr:cNvPr>
        <xdr:cNvSpPr txBox="1"/>
      </xdr:nvSpPr>
      <xdr:spPr>
        <a:xfrm>
          <a:off x="7270377" y="7153835"/>
          <a:ext cx="4993084" cy="280205"/>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0" u="none">
              <a:solidFill>
                <a:schemeClr val="bg2"/>
              </a:solidFill>
            </a:rPr>
            <a:t>Uplift % = [(Avg ER During - Avg ER Before) /  Avg ER Before] * 100</a:t>
          </a:r>
        </a:p>
      </xdr:txBody>
    </xdr:sp>
    <xdr:clientData/>
  </xdr:oneCellAnchor>
  <xdr:oneCellAnchor>
    <xdr:from>
      <xdr:col>4</xdr:col>
      <xdr:colOff>1165411</xdr:colOff>
      <xdr:row>0</xdr:row>
      <xdr:rowOff>116542</xdr:rowOff>
    </xdr:from>
    <xdr:ext cx="4993084" cy="405432"/>
    <xdr:sp macro="" textlink="">
      <xdr:nvSpPr>
        <xdr:cNvPr id="9" name="TextBox 8">
          <a:extLst>
            <a:ext uri="{FF2B5EF4-FFF2-40B4-BE49-F238E27FC236}">
              <a16:creationId xmlns:a16="http://schemas.microsoft.com/office/drawing/2014/main" id="{E87F65F7-9F51-4360-9A25-C34B21B3ED28}"/>
            </a:ext>
          </a:extLst>
        </xdr:cNvPr>
        <xdr:cNvSpPr txBox="1"/>
      </xdr:nvSpPr>
      <xdr:spPr>
        <a:xfrm>
          <a:off x="5289176" y="116542"/>
          <a:ext cx="4993084" cy="405432"/>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u="none">
              <a:solidFill>
                <a:schemeClr val="bg2"/>
              </a:solidFill>
            </a:rPr>
            <a:t>TASK</a:t>
          </a:r>
          <a:r>
            <a:rPr lang="en-US" sz="2000" b="1" u="none" baseline="0">
              <a:solidFill>
                <a:schemeClr val="bg2"/>
              </a:solidFill>
            </a:rPr>
            <a:t> 5 - CAMPAIGN EFFECTIVENESS</a:t>
          </a:r>
          <a:endParaRPr lang="en-US" sz="2000" b="1" u="none">
            <a:solidFill>
              <a:schemeClr val="bg2"/>
            </a:solidFill>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4</xdr:col>
      <xdr:colOff>1378770</xdr:colOff>
      <xdr:row>5</xdr:row>
      <xdr:rowOff>90993</xdr:rowOff>
    </xdr:from>
    <xdr:ext cx="5509709" cy="342786"/>
    <xdr:sp macro="" textlink="">
      <xdr:nvSpPr>
        <xdr:cNvPr id="9" name="TextBox 8">
          <a:extLst>
            <a:ext uri="{FF2B5EF4-FFF2-40B4-BE49-F238E27FC236}">
              <a16:creationId xmlns:a16="http://schemas.microsoft.com/office/drawing/2014/main" id="{6C24462C-9FE9-4F85-BCE4-669AA97A462F}"/>
            </a:ext>
          </a:extLst>
        </xdr:cNvPr>
        <xdr:cNvSpPr txBox="1"/>
      </xdr:nvSpPr>
      <xdr:spPr>
        <a:xfrm>
          <a:off x="4281990" y="1005393"/>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u="sng">
              <a:solidFill>
                <a:schemeClr val="tx1"/>
              </a:solidFill>
            </a:rPr>
            <a:t>1. Weekly</a:t>
          </a:r>
          <a:r>
            <a:rPr lang="en-US" sz="1600" b="1" u="sng" baseline="0">
              <a:solidFill>
                <a:schemeClr val="tx1"/>
              </a:solidFill>
            </a:rPr>
            <a:t> follower growth per platform</a:t>
          </a:r>
          <a:endParaRPr lang="en-US" sz="1600" b="1" u="sng">
            <a:solidFill>
              <a:schemeClr val="tx1"/>
            </a:solidFill>
          </a:endParaRPr>
        </a:p>
      </xdr:txBody>
    </xdr:sp>
    <xdr:clientData/>
  </xdr:oneCellAnchor>
  <xdr:oneCellAnchor>
    <xdr:from>
      <xdr:col>5</xdr:col>
      <xdr:colOff>197224</xdr:colOff>
      <xdr:row>0</xdr:row>
      <xdr:rowOff>107576</xdr:rowOff>
    </xdr:from>
    <xdr:ext cx="4993084" cy="405432"/>
    <xdr:sp macro="" textlink="">
      <xdr:nvSpPr>
        <xdr:cNvPr id="14" name="TextBox 13">
          <a:extLst>
            <a:ext uri="{FF2B5EF4-FFF2-40B4-BE49-F238E27FC236}">
              <a16:creationId xmlns:a16="http://schemas.microsoft.com/office/drawing/2014/main" id="{E929285B-005B-4BB9-9136-BD66B06B13F9}"/>
            </a:ext>
          </a:extLst>
        </xdr:cNvPr>
        <xdr:cNvSpPr txBox="1"/>
      </xdr:nvSpPr>
      <xdr:spPr>
        <a:xfrm>
          <a:off x="5181600" y="107576"/>
          <a:ext cx="4993084" cy="405432"/>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u="none">
              <a:solidFill>
                <a:schemeClr val="bg2"/>
              </a:solidFill>
            </a:rPr>
            <a:t>TASK</a:t>
          </a:r>
          <a:r>
            <a:rPr lang="en-US" sz="2000" b="1" u="none" baseline="0">
              <a:solidFill>
                <a:schemeClr val="bg2"/>
              </a:solidFill>
            </a:rPr>
            <a:t> 6 - FOLLOWER RETENTION &amp; LOYALTY</a:t>
          </a:r>
          <a:endParaRPr lang="en-US" sz="2000" b="1" u="none">
            <a:solidFill>
              <a:schemeClr val="bg2"/>
            </a:solidFill>
          </a:endParaRPr>
        </a:p>
      </xdr:txBody>
    </xdr:sp>
    <xdr:clientData/>
  </xdr:oneCellAnchor>
  <xdr:oneCellAnchor>
    <xdr:from>
      <xdr:col>9</xdr:col>
      <xdr:colOff>167640</xdr:colOff>
      <xdr:row>7</xdr:row>
      <xdr:rowOff>129540</xdr:rowOff>
    </xdr:from>
    <xdr:ext cx="4993084" cy="1704954"/>
    <xdr:sp macro="" textlink="">
      <xdr:nvSpPr>
        <xdr:cNvPr id="17" name="TextBox 16">
          <a:extLst>
            <a:ext uri="{FF2B5EF4-FFF2-40B4-BE49-F238E27FC236}">
              <a16:creationId xmlns:a16="http://schemas.microsoft.com/office/drawing/2014/main" id="{5EFCF2EA-56A5-4E0F-AC40-1FD8BCDE5DC4}"/>
            </a:ext>
          </a:extLst>
        </xdr:cNvPr>
        <xdr:cNvSpPr txBox="1"/>
      </xdr:nvSpPr>
      <xdr:spPr>
        <a:xfrm>
          <a:off x="7742816" y="1474246"/>
          <a:ext cx="4993084" cy="1704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sz="1200" b="1" baseline="0">
              <a:solidFill>
                <a:srgbClr val="00B050"/>
              </a:solidFill>
            </a:rPr>
            <a:t>@ </a:t>
          </a:r>
          <a:r>
            <a:rPr lang="en-US" b="1">
              <a:solidFill>
                <a:srgbClr val="00B050"/>
              </a:solidFill>
              <a:effectLst/>
            </a:rPr>
            <a:t>Instagram</a:t>
          </a:r>
          <a:r>
            <a:rPr lang="en-US">
              <a:solidFill>
                <a:srgbClr val="00B050"/>
              </a:solidFill>
              <a:effectLst/>
            </a:rPr>
            <a:t> leads overall with </a:t>
          </a:r>
          <a:r>
            <a:rPr lang="en-US" b="1">
              <a:solidFill>
                <a:srgbClr val="00B050"/>
              </a:solidFill>
              <a:effectLst/>
            </a:rPr>
            <a:t>48K followers</a:t>
          </a:r>
          <a:r>
            <a:rPr lang="en-US">
              <a:solidFill>
                <a:srgbClr val="00B050"/>
              </a:solidFill>
              <a:effectLst/>
            </a:rPr>
            <a:t>, showing consistent monthly growth — strongest platform for retention.</a:t>
          </a:r>
        </a:p>
        <a:p>
          <a:r>
            <a:rPr lang="en-US" sz="1100" b="1" baseline="0">
              <a:solidFill>
                <a:srgbClr val="00B050"/>
              </a:solidFill>
              <a:effectLst/>
              <a:latin typeface="+mn-lt"/>
              <a:ea typeface="+mn-ea"/>
              <a:cs typeface="+mn-cs"/>
            </a:rPr>
            <a:t>@ </a:t>
          </a:r>
          <a:r>
            <a:rPr lang="en-US" b="1">
              <a:solidFill>
                <a:srgbClr val="00B050"/>
              </a:solidFill>
              <a:effectLst/>
            </a:rPr>
            <a:t>Twitter</a:t>
          </a:r>
          <a:r>
            <a:rPr lang="en-US">
              <a:solidFill>
                <a:srgbClr val="00B050"/>
              </a:solidFill>
              <a:effectLst/>
            </a:rPr>
            <a:t> shows sharp spikes in July, September, and December — likely tied to campaign bursts.</a:t>
          </a:r>
        </a:p>
        <a:p>
          <a:r>
            <a:rPr lang="en-US" sz="1100" b="1" baseline="0">
              <a:solidFill>
                <a:srgbClr val="00B050"/>
              </a:solidFill>
              <a:effectLst/>
              <a:latin typeface="+mn-lt"/>
              <a:ea typeface="+mn-ea"/>
              <a:cs typeface="+mn-cs"/>
            </a:rPr>
            <a:t>@ </a:t>
          </a:r>
          <a:r>
            <a:rPr lang="en-US" b="1">
              <a:solidFill>
                <a:srgbClr val="00B050"/>
              </a:solidFill>
              <a:effectLst/>
            </a:rPr>
            <a:t>Facebook</a:t>
          </a:r>
          <a:r>
            <a:rPr lang="en-US">
              <a:solidFill>
                <a:srgbClr val="00B050"/>
              </a:solidFill>
              <a:effectLst/>
            </a:rPr>
            <a:t> has strong early growth (June–Sept), then stabilizes — good for reach, less for sustained growth.</a:t>
          </a:r>
        </a:p>
        <a:p>
          <a:r>
            <a:rPr lang="en-US" sz="1100" b="1" baseline="0">
              <a:solidFill>
                <a:srgbClr val="00B050"/>
              </a:solidFill>
              <a:effectLst/>
              <a:latin typeface="+mn-lt"/>
              <a:ea typeface="+mn-ea"/>
              <a:cs typeface="+mn-cs"/>
            </a:rPr>
            <a:t>@ </a:t>
          </a:r>
          <a:r>
            <a:rPr lang="en-US" b="1">
              <a:solidFill>
                <a:srgbClr val="00B050"/>
              </a:solidFill>
              <a:effectLst/>
            </a:rPr>
            <a:t>YouTube</a:t>
          </a:r>
          <a:r>
            <a:rPr lang="en-US">
              <a:solidFill>
                <a:srgbClr val="00B050"/>
              </a:solidFill>
              <a:effectLst/>
            </a:rPr>
            <a:t> shows late surge (Dec–Mar), peaking in </a:t>
          </a:r>
          <a:r>
            <a:rPr lang="en-US" b="1">
              <a:solidFill>
                <a:srgbClr val="00B050"/>
              </a:solidFill>
              <a:effectLst/>
            </a:rPr>
            <a:t>March 2025</a:t>
          </a:r>
          <a:r>
            <a:rPr lang="en-US">
              <a:solidFill>
                <a:srgbClr val="00B050"/>
              </a:solidFill>
              <a:effectLst/>
            </a:rPr>
            <a:t> — ideal for long-form or seasonal content.</a:t>
          </a:r>
        </a:p>
      </xdr:txBody>
    </xdr:sp>
    <xdr:clientData/>
  </xdr:oneCellAnchor>
  <xdr:twoCellAnchor>
    <xdr:from>
      <xdr:col>2</xdr:col>
      <xdr:colOff>1113609</xdr:colOff>
      <xdr:row>25</xdr:row>
      <xdr:rowOff>99060</xdr:rowOff>
    </xdr:from>
    <xdr:to>
      <xdr:col>12</xdr:col>
      <xdr:colOff>1326777</xdr:colOff>
      <xdr:row>45</xdr:row>
      <xdr:rowOff>71718</xdr:rowOff>
    </xdr:to>
    <xdr:graphicFrame macro="">
      <xdr:nvGraphicFramePr>
        <xdr:cNvPr id="20" name="Chart 19">
          <a:extLst>
            <a:ext uri="{FF2B5EF4-FFF2-40B4-BE49-F238E27FC236}">
              <a16:creationId xmlns:a16="http://schemas.microsoft.com/office/drawing/2014/main" id="{A8D16793-22A4-4BAE-8325-C521639D2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0</xdr:colOff>
      <xdr:row>50</xdr:row>
      <xdr:rowOff>0</xdr:rowOff>
    </xdr:from>
    <xdr:ext cx="5509709" cy="342786"/>
    <xdr:sp macro="" textlink="">
      <xdr:nvSpPr>
        <xdr:cNvPr id="21" name="TextBox 20">
          <a:extLst>
            <a:ext uri="{FF2B5EF4-FFF2-40B4-BE49-F238E27FC236}">
              <a16:creationId xmlns:a16="http://schemas.microsoft.com/office/drawing/2014/main" id="{3C1A5CF4-A878-4F47-82DC-1C236C8C4DB5}"/>
            </a:ext>
          </a:extLst>
        </xdr:cNvPr>
        <xdr:cNvSpPr txBox="1"/>
      </xdr:nvSpPr>
      <xdr:spPr>
        <a:xfrm>
          <a:off x="4948518" y="9251576"/>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u="sng">
              <a:solidFill>
                <a:schemeClr val="tx1"/>
              </a:solidFill>
            </a:rPr>
            <a:t>2. Peak week of follower gain</a:t>
          </a:r>
        </a:p>
      </xdr:txBody>
    </xdr:sp>
    <xdr:clientData/>
  </xdr:oneCellAnchor>
  <xdr:oneCellAnchor>
    <xdr:from>
      <xdr:col>9</xdr:col>
      <xdr:colOff>421341</xdr:colOff>
      <xdr:row>52</xdr:row>
      <xdr:rowOff>152400</xdr:rowOff>
    </xdr:from>
    <xdr:ext cx="4993084" cy="1188274"/>
    <xdr:sp macro="" textlink="">
      <xdr:nvSpPr>
        <xdr:cNvPr id="22" name="TextBox 21">
          <a:extLst>
            <a:ext uri="{FF2B5EF4-FFF2-40B4-BE49-F238E27FC236}">
              <a16:creationId xmlns:a16="http://schemas.microsoft.com/office/drawing/2014/main" id="{C7701D14-4620-4E84-B3C5-C48EA4EF4055}"/>
            </a:ext>
          </a:extLst>
        </xdr:cNvPr>
        <xdr:cNvSpPr txBox="1"/>
      </xdr:nvSpPr>
      <xdr:spPr>
        <a:xfrm>
          <a:off x="9502588" y="9753600"/>
          <a:ext cx="4993084" cy="1188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a:solidFill>
                <a:srgbClr val="00B050"/>
              </a:solidFill>
              <a:effectLst/>
            </a:rPr>
            <a:t>The highest follower gain occurred during the week of </a:t>
          </a:r>
          <a:r>
            <a:rPr lang="en-US" b="1">
              <a:solidFill>
                <a:srgbClr val="00B050"/>
              </a:solidFill>
              <a:effectLst/>
            </a:rPr>
            <a:t>30-Dec-2024</a:t>
          </a:r>
          <a:r>
            <a:rPr lang="en-US">
              <a:solidFill>
                <a:srgbClr val="00B050"/>
              </a:solidFill>
              <a:effectLst/>
            </a:rPr>
            <a:t>, adding </a:t>
          </a:r>
          <a:r>
            <a:rPr lang="en-US" b="1">
              <a:solidFill>
                <a:srgbClr val="00B050"/>
              </a:solidFill>
              <a:effectLst/>
            </a:rPr>
            <a:t>6,530 net followers</a:t>
          </a:r>
          <a:r>
            <a:rPr lang="en-US">
              <a:solidFill>
                <a:srgbClr val="00B050"/>
              </a:solidFill>
              <a:effectLst/>
            </a:rPr>
            <a:t> across platforms.</a:t>
          </a:r>
        </a:p>
        <a:p>
          <a:r>
            <a:rPr lang="en-US" sz="1100" b="1" baseline="0">
              <a:solidFill>
                <a:srgbClr val="00B050"/>
              </a:solidFill>
              <a:effectLst/>
              <a:latin typeface="+mn-lt"/>
              <a:ea typeface="+mn-ea"/>
              <a:cs typeface="+mn-cs"/>
            </a:rPr>
            <a:t>@ </a:t>
          </a:r>
          <a:r>
            <a:rPr lang="en-US">
              <a:solidFill>
                <a:srgbClr val="00B050"/>
              </a:solidFill>
              <a:effectLst/>
            </a:rPr>
            <a:t>Growth was evenly distributed, with each platform contributing ~1,700 followers.</a:t>
          </a:r>
        </a:p>
        <a:p>
          <a:r>
            <a:rPr lang="en-US" sz="1100" b="1" baseline="0">
              <a:solidFill>
                <a:srgbClr val="00B050"/>
              </a:solidFill>
              <a:effectLst/>
              <a:latin typeface="+mn-lt"/>
              <a:ea typeface="+mn-ea"/>
              <a:cs typeface="+mn-cs"/>
            </a:rPr>
            <a:t>@ </a:t>
          </a:r>
          <a:r>
            <a:rPr lang="en-US">
              <a:solidFill>
                <a:srgbClr val="00B050"/>
              </a:solidFill>
              <a:effectLst/>
            </a:rPr>
            <a:t>This spike aligns with </a:t>
          </a:r>
          <a:r>
            <a:rPr lang="en-US" b="1">
              <a:solidFill>
                <a:srgbClr val="00B050"/>
              </a:solidFill>
              <a:effectLst/>
            </a:rPr>
            <a:t>year-end campaign momentum</a:t>
          </a:r>
          <a:r>
            <a:rPr lang="en-US">
              <a:solidFill>
                <a:srgbClr val="00B050"/>
              </a:solidFill>
              <a:effectLst/>
            </a:rPr>
            <a:t>, suggesting strong content resonance and cross-platform synergy.</a:t>
          </a:r>
        </a:p>
      </xdr:txBody>
    </xdr:sp>
    <xdr:clientData/>
  </xdr:oneCellAnchor>
  <xdr:oneCellAnchor>
    <xdr:from>
      <xdr:col>5</xdr:col>
      <xdr:colOff>0</xdr:colOff>
      <xdr:row>78</xdr:row>
      <xdr:rowOff>97971</xdr:rowOff>
    </xdr:from>
    <xdr:ext cx="5509709" cy="342786"/>
    <xdr:sp macro="" textlink="">
      <xdr:nvSpPr>
        <xdr:cNvPr id="23" name="TextBox 22">
          <a:extLst>
            <a:ext uri="{FF2B5EF4-FFF2-40B4-BE49-F238E27FC236}">
              <a16:creationId xmlns:a16="http://schemas.microsoft.com/office/drawing/2014/main" id="{8D486D8A-938F-4B87-9D8E-524619CD055D}"/>
            </a:ext>
          </a:extLst>
        </xdr:cNvPr>
        <xdr:cNvSpPr txBox="1"/>
      </xdr:nvSpPr>
      <xdr:spPr>
        <a:xfrm>
          <a:off x="4974771" y="14978742"/>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u="sng">
              <a:solidFill>
                <a:schemeClr val="tx1"/>
              </a:solidFill>
            </a:rPr>
            <a:t>3. Moving average to smooth growth</a:t>
          </a:r>
          <a:r>
            <a:rPr lang="en-US" sz="1600" b="1" u="sng" baseline="0">
              <a:solidFill>
                <a:schemeClr val="tx1"/>
              </a:solidFill>
            </a:rPr>
            <a:t> trends</a:t>
          </a:r>
          <a:endParaRPr lang="en-US" sz="1600" b="1" u="sng">
            <a:solidFill>
              <a:schemeClr val="tx1"/>
            </a:solidFill>
          </a:endParaRPr>
        </a:p>
      </xdr:txBody>
    </xdr:sp>
    <xdr:clientData/>
  </xdr:oneCellAnchor>
  <xdr:twoCellAnchor>
    <xdr:from>
      <xdr:col>2</xdr:col>
      <xdr:colOff>573741</xdr:colOff>
      <xdr:row>136</xdr:row>
      <xdr:rowOff>14724</xdr:rowOff>
    </xdr:from>
    <xdr:to>
      <xdr:col>12</xdr:col>
      <xdr:colOff>977152</xdr:colOff>
      <xdr:row>155</xdr:row>
      <xdr:rowOff>44823</xdr:rowOff>
    </xdr:to>
    <xdr:graphicFrame macro="">
      <xdr:nvGraphicFramePr>
        <xdr:cNvPr id="26" name="Chart 25">
          <a:extLst>
            <a:ext uri="{FF2B5EF4-FFF2-40B4-BE49-F238E27FC236}">
              <a16:creationId xmlns:a16="http://schemas.microsoft.com/office/drawing/2014/main" id="{B8D06286-B691-4C1A-AC74-F41493F6E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xdr:col>
      <xdr:colOff>672354</xdr:colOff>
      <xdr:row>118</xdr:row>
      <xdr:rowOff>89647</xdr:rowOff>
    </xdr:from>
    <xdr:ext cx="3711388" cy="468077"/>
    <xdr:sp macro="" textlink="">
      <xdr:nvSpPr>
        <xdr:cNvPr id="27" name="TextBox 26">
          <a:extLst>
            <a:ext uri="{FF2B5EF4-FFF2-40B4-BE49-F238E27FC236}">
              <a16:creationId xmlns:a16="http://schemas.microsoft.com/office/drawing/2014/main" id="{87D43036-3BD1-4748-9BA8-435184DE2C19}"/>
            </a:ext>
          </a:extLst>
        </xdr:cNvPr>
        <xdr:cNvSpPr txBox="1"/>
      </xdr:nvSpPr>
      <xdr:spPr>
        <a:xfrm>
          <a:off x="11447930" y="21909741"/>
          <a:ext cx="3711388" cy="468077"/>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0" u="none">
              <a:solidFill>
                <a:schemeClr val="bg2"/>
              </a:solidFill>
            </a:rPr>
            <a:t>Moving</a:t>
          </a:r>
          <a:r>
            <a:rPr lang="en-US" sz="1200" b="0" u="none" baseline="0">
              <a:solidFill>
                <a:schemeClr val="bg2"/>
              </a:solidFill>
            </a:rPr>
            <a:t> average (17/6/24) =</a:t>
          </a:r>
        </a:p>
        <a:p>
          <a:r>
            <a:rPr lang="en-US" sz="1200" b="0" u="none" baseline="0">
              <a:solidFill>
                <a:schemeClr val="bg2"/>
              </a:solidFill>
            </a:rPr>
            <a:t> grand total of (3/6/24 + 10/6/24 + 17/6/24) / 3</a:t>
          </a:r>
          <a:endParaRPr lang="en-US" sz="1200" b="0" u="none">
            <a:solidFill>
              <a:schemeClr val="bg2"/>
            </a:solidFill>
          </a:endParaRPr>
        </a:p>
      </xdr:txBody>
    </xdr:sp>
    <xdr:clientData/>
  </xdr:oneCellAnchor>
  <xdr:oneCellAnchor>
    <xdr:from>
      <xdr:col>10</xdr:col>
      <xdr:colOff>609600</xdr:colOff>
      <xdr:row>122</xdr:row>
      <xdr:rowOff>8963</xdr:rowOff>
    </xdr:from>
    <xdr:ext cx="3908612" cy="2033762"/>
    <xdr:sp macro="" textlink="">
      <xdr:nvSpPr>
        <xdr:cNvPr id="28" name="TextBox 27">
          <a:extLst>
            <a:ext uri="{FF2B5EF4-FFF2-40B4-BE49-F238E27FC236}">
              <a16:creationId xmlns:a16="http://schemas.microsoft.com/office/drawing/2014/main" id="{23EAF2AC-84C7-4AC6-B8D8-C07B9FD969C1}"/>
            </a:ext>
          </a:extLst>
        </xdr:cNvPr>
        <xdr:cNvSpPr txBox="1"/>
      </xdr:nvSpPr>
      <xdr:spPr>
        <a:xfrm>
          <a:off x="11385176" y="22546234"/>
          <a:ext cx="3908612" cy="2033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sz="1100" b="1" baseline="0">
              <a:solidFill>
                <a:srgbClr val="00B050"/>
              </a:solidFill>
              <a:effectLst/>
              <a:latin typeface="+mn-lt"/>
              <a:ea typeface="+mn-ea"/>
              <a:cs typeface="+mn-cs"/>
            </a:rPr>
            <a:t>@</a:t>
          </a:r>
          <a:r>
            <a:rPr lang="en-US">
              <a:solidFill>
                <a:srgbClr val="00B050"/>
              </a:solidFill>
              <a:effectLst/>
            </a:rPr>
            <a:t> </a:t>
          </a:r>
          <a:r>
            <a:rPr lang="en-US" b="1">
              <a:solidFill>
                <a:srgbClr val="00B050"/>
              </a:solidFill>
              <a:effectLst/>
            </a:rPr>
            <a:t>Follower growth increased steadily from August to December 2024</a:t>
          </a:r>
          <a:r>
            <a:rPr lang="en-US">
              <a:solidFill>
                <a:srgbClr val="00B050"/>
              </a:solidFill>
              <a:effectLst/>
            </a:rPr>
            <a:t> — this was your strongest period.</a:t>
          </a:r>
        </a:p>
        <a:p>
          <a:r>
            <a:rPr lang="en-US" sz="1100" b="1" baseline="0">
              <a:solidFill>
                <a:srgbClr val="00B050"/>
              </a:solidFill>
              <a:effectLst/>
              <a:latin typeface="+mn-lt"/>
              <a:ea typeface="+mn-ea"/>
              <a:cs typeface="+mn-cs"/>
            </a:rPr>
            <a:t>@</a:t>
          </a:r>
          <a:r>
            <a:rPr lang="en-US" sz="1100">
              <a:solidFill>
                <a:srgbClr val="00B050"/>
              </a:solidFill>
              <a:effectLst/>
              <a:latin typeface="+mn-lt"/>
              <a:ea typeface="+mn-ea"/>
              <a:cs typeface="+mn-cs"/>
            </a:rPr>
            <a:t> </a:t>
          </a:r>
          <a:r>
            <a:rPr lang="en-US" b="1">
              <a:solidFill>
                <a:srgbClr val="00B050"/>
              </a:solidFill>
              <a:effectLst/>
            </a:rPr>
            <a:t>The biggest spike happened in mid-December</a:t>
          </a:r>
          <a:r>
            <a:rPr lang="en-US">
              <a:solidFill>
                <a:srgbClr val="00B050"/>
              </a:solidFill>
              <a:effectLst/>
            </a:rPr>
            <a:t>, likely due to festive campaigns or strong content.</a:t>
          </a:r>
        </a:p>
        <a:p>
          <a:r>
            <a:rPr lang="en-US" sz="1100" b="1" baseline="0">
              <a:solidFill>
                <a:srgbClr val="00B050"/>
              </a:solidFill>
              <a:effectLst/>
              <a:latin typeface="+mn-lt"/>
              <a:ea typeface="+mn-ea"/>
              <a:cs typeface="+mn-cs"/>
            </a:rPr>
            <a:t>@</a:t>
          </a:r>
          <a:r>
            <a:rPr lang="en-US" sz="1100">
              <a:solidFill>
                <a:srgbClr val="00B050"/>
              </a:solidFill>
              <a:effectLst/>
              <a:latin typeface="+mn-lt"/>
              <a:ea typeface="+mn-ea"/>
              <a:cs typeface="+mn-cs"/>
            </a:rPr>
            <a:t> </a:t>
          </a:r>
          <a:r>
            <a:rPr lang="en-US" b="1">
              <a:solidFill>
                <a:srgbClr val="00B050"/>
              </a:solidFill>
              <a:effectLst/>
            </a:rPr>
            <a:t>Growth slowed down in January 2025</a:t>
          </a:r>
          <a:r>
            <a:rPr lang="en-US">
              <a:solidFill>
                <a:srgbClr val="00B050"/>
              </a:solidFill>
              <a:effectLst/>
            </a:rPr>
            <a:t>, showing a post-campaign dip.</a:t>
          </a:r>
        </a:p>
        <a:p>
          <a:r>
            <a:rPr lang="en-US" sz="1100" b="1" baseline="0">
              <a:solidFill>
                <a:srgbClr val="00B050"/>
              </a:solidFill>
              <a:effectLst/>
              <a:latin typeface="+mn-lt"/>
              <a:ea typeface="+mn-ea"/>
              <a:cs typeface="+mn-cs"/>
            </a:rPr>
            <a:t>@</a:t>
          </a:r>
          <a:r>
            <a:rPr lang="en-US" sz="1100">
              <a:solidFill>
                <a:srgbClr val="00B050"/>
              </a:solidFill>
              <a:effectLst/>
              <a:latin typeface="+mn-lt"/>
              <a:ea typeface="+mn-ea"/>
              <a:cs typeface="+mn-cs"/>
            </a:rPr>
            <a:t> </a:t>
          </a:r>
          <a:r>
            <a:rPr lang="en-US" b="1">
              <a:solidFill>
                <a:srgbClr val="00B050"/>
              </a:solidFill>
              <a:effectLst/>
            </a:rPr>
            <a:t>Another rise came in March–April 2025</a:t>
          </a:r>
          <a:r>
            <a:rPr lang="en-US">
              <a:solidFill>
                <a:srgbClr val="00B050"/>
              </a:solidFill>
              <a:effectLst/>
            </a:rPr>
            <a:t>, possibly from new promotions or seasonal content.</a:t>
          </a:r>
        </a:p>
        <a:p>
          <a:r>
            <a:rPr lang="en-US" sz="1100" b="1" baseline="0">
              <a:solidFill>
                <a:srgbClr val="00B050"/>
              </a:solidFill>
              <a:effectLst/>
              <a:latin typeface="+mn-lt"/>
              <a:ea typeface="+mn-ea"/>
              <a:cs typeface="+mn-cs"/>
            </a:rPr>
            <a:t>@</a:t>
          </a:r>
          <a:r>
            <a:rPr lang="en-US" sz="1100">
              <a:solidFill>
                <a:srgbClr val="00B050"/>
              </a:solidFill>
              <a:effectLst/>
              <a:latin typeface="+mn-lt"/>
              <a:ea typeface="+mn-ea"/>
              <a:cs typeface="+mn-cs"/>
            </a:rPr>
            <a:t> </a:t>
          </a:r>
          <a:r>
            <a:rPr lang="en-US" b="1">
              <a:solidFill>
                <a:srgbClr val="00B050"/>
              </a:solidFill>
              <a:effectLst/>
            </a:rPr>
            <a:t>Some weeks had low growth</a:t>
          </a:r>
          <a:r>
            <a:rPr lang="en-US">
              <a:solidFill>
                <a:srgbClr val="00B050"/>
              </a:solidFill>
              <a:effectLst/>
            </a:rPr>
            <a:t>, especially in early July and late April — good spots to review and improve.</a:t>
          </a:r>
        </a:p>
      </xdr:txBody>
    </xdr:sp>
    <xdr:clientData/>
  </xdr:oneCellAnchor>
  <xdr:oneCellAnchor>
    <xdr:from>
      <xdr:col>5</xdr:col>
      <xdr:colOff>0</xdr:colOff>
      <xdr:row>159</xdr:row>
      <xdr:rowOff>0</xdr:rowOff>
    </xdr:from>
    <xdr:ext cx="5509709" cy="342786"/>
    <xdr:sp macro="" textlink="">
      <xdr:nvSpPr>
        <xdr:cNvPr id="29" name="TextBox 28">
          <a:extLst>
            <a:ext uri="{FF2B5EF4-FFF2-40B4-BE49-F238E27FC236}">
              <a16:creationId xmlns:a16="http://schemas.microsoft.com/office/drawing/2014/main" id="{CD0E9171-F8FE-4112-9F47-ABF3A6AE3000}"/>
            </a:ext>
          </a:extLst>
        </xdr:cNvPr>
        <xdr:cNvSpPr txBox="1"/>
      </xdr:nvSpPr>
      <xdr:spPr>
        <a:xfrm>
          <a:off x="4966447" y="29171153"/>
          <a:ext cx="5509709"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u="sng">
              <a:solidFill>
                <a:schemeClr val="tx1"/>
              </a:solidFill>
            </a:rPr>
            <a:t>4. AD Spend VS Followe Growth</a:t>
          </a:r>
        </a:p>
      </xdr:txBody>
    </xdr:sp>
    <xdr:clientData/>
  </xdr:oneCellAnchor>
  <xdr:twoCellAnchor>
    <xdr:from>
      <xdr:col>8</xdr:col>
      <xdr:colOff>0</xdr:colOff>
      <xdr:row>162</xdr:row>
      <xdr:rowOff>179293</xdr:rowOff>
    </xdr:from>
    <xdr:to>
      <xdr:col>11</xdr:col>
      <xdr:colOff>439271</xdr:colOff>
      <xdr:row>187</xdr:row>
      <xdr:rowOff>161365</xdr:rowOff>
    </xdr:to>
    <xdr:graphicFrame macro="">
      <xdr:nvGraphicFramePr>
        <xdr:cNvPr id="30" name="Chart 29">
          <a:extLst>
            <a:ext uri="{FF2B5EF4-FFF2-40B4-BE49-F238E27FC236}">
              <a16:creationId xmlns:a16="http://schemas.microsoft.com/office/drawing/2014/main" id="{39BCEA89-000A-4208-8342-9A3E002B0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0</xdr:colOff>
      <xdr:row>178</xdr:row>
      <xdr:rowOff>0</xdr:rowOff>
    </xdr:from>
    <xdr:ext cx="4993084" cy="1380634"/>
    <xdr:sp macro="" textlink="">
      <xdr:nvSpPr>
        <xdr:cNvPr id="31" name="TextBox 30">
          <a:extLst>
            <a:ext uri="{FF2B5EF4-FFF2-40B4-BE49-F238E27FC236}">
              <a16:creationId xmlns:a16="http://schemas.microsoft.com/office/drawing/2014/main" id="{19412A63-D78E-4B2C-A6B8-E93E8576B735}"/>
            </a:ext>
          </a:extLst>
        </xdr:cNvPr>
        <xdr:cNvSpPr txBox="1"/>
      </xdr:nvSpPr>
      <xdr:spPr>
        <a:xfrm>
          <a:off x="2519082" y="32766000"/>
          <a:ext cx="4993084" cy="13806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solidFill>
            </a:rPr>
            <a:t>Insights</a:t>
          </a:r>
          <a:r>
            <a:rPr lang="en-US" sz="1400" b="1" baseline="0">
              <a:solidFill>
                <a:schemeClr val="tx1"/>
              </a:solidFill>
            </a:rPr>
            <a:t> :</a:t>
          </a:r>
          <a:br>
            <a:rPr lang="en-US" sz="1400" b="1" baseline="0">
              <a:solidFill>
                <a:schemeClr val="tx1"/>
              </a:solidFill>
            </a:rPr>
          </a:br>
          <a:r>
            <a:rPr lang="en-US" sz="1100" b="1" baseline="0">
              <a:solidFill>
                <a:srgbClr val="00B050"/>
              </a:solidFill>
              <a:effectLst/>
              <a:latin typeface="+mn-lt"/>
              <a:ea typeface="+mn-ea"/>
              <a:cs typeface="+mn-cs"/>
            </a:rPr>
            <a:t>@</a:t>
          </a:r>
          <a:r>
            <a:rPr lang="en-US">
              <a:solidFill>
                <a:srgbClr val="00B050"/>
              </a:solidFill>
              <a:effectLst/>
            </a:rPr>
            <a:t> </a:t>
          </a:r>
          <a:r>
            <a:rPr lang="en-US" b="1">
              <a:solidFill>
                <a:srgbClr val="00B050"/>
              </a:solidFill>
              <a:effectLst/>
            </a:rPr>
            <a:t>StyleRevolution (Instagram)</a:t>
          </a:r>
          <a:r>
            <a:rPr lang="en-US">
              <a:solidFill>
                <a:srgbClr val="00B050"/>
              </a:solidFill>
              <a:effectLst/>
            </a:rPr>
            <a:t>: Best performer — low cost, high follower gain</a:t>
          </a:r>
        </a:p>
        <a:p>
          <a:r>
            <a:rPr lang="en-US" sz="1100" b="1" baseline="0">
              <a:solidFill>
                <a:srgbClr val="00B050"/>
              </a:solidFill>
              <a:effectLst/>
              <a:latin typeface="+mn-lt"/>
              <a:ea typeface="+mn-ea"/>
              <a:cs typeface="+mn-cs"/>
            </a:rPr>
            <a:t>@</a:t>
          </a:r>
          <a:r>
            <a:rPr lang="en-US" sz="1100">
              <a:solidFill>
                <a:srgbClr val="00B050"/>
              </a:solidFill>
              <a:effectLst/>
              <a:latin typeface="+mn-lt"/>
              <a:ea typeface="+mn-ea"/>
              <a:cs typeface="+mn-cs"/>
            </a:rPr>
            <a:t> </a:t>
          </a:r>
          <a:r>
            <a:rPr lang="en-US" b="1">
              <a:solidFill>
                <a:srgbClr val="00B050"/>
              </a:solidFill>
              <a:effectLst/>
            </a:rPr>
            <a:t>EndOfSeasonSale (Instagram)</a:t>
          </a:r>
          <a:r>
            <a:rPr lang="en-US">
              <a:solidFill>
                <a:srgbClr val="00B050"/>
              </a:solidFill>
              <a:effectLst/>
            </a:rPr>
            <a:t>: Lean and efficient — great ROI</a:t>
          </a:r>
        </a:p>
        <a:p>
          <a:r>
            <a:rPr lang="en-US" sz="1100" b="1" baseline="0">
              <a:solidFill>
                <a:srgbClr val="00B050"/>
              </a:solidFill>
              <a:effectLst/>
              <a:latin typeface="+mn-lt"/>
              <a:ea typeface="+mn-ea"/>
              <a:cs typeface="+mn-cs"/>
            </a:rPr>
            <a:t>@</a:t>
          </a:r>
          <a:r>
            <a:rPr lang="en-US" sz="1100">
              <a:solidFill>
                <a:srgbClr val="00B050"/>
              </a:solidFill>
              <a:effectLst/>
              <a:latin typeface="+mn-lt"/>
              <a:ea typeface="+mn-ea"/>
              <a:cs typeface="+mn-cs"/>
            </a:rPr>
            <a:t> </a:t>
          </a:r>
          <a:r>
            <a:rPr lang="en-US" b="1">
              <a:solidFill>
                <a:srgbClr val="00B050"/>
              </a:solidFill>
              <a:effectLst/>
            </a:rPr>
            <a:t>MyntraFestiveEdit (Instagram)</a:t>
          </a:r>
          <a:r>
            <a:rPr lang="en-US">
              <a:solidFill>
                <a:srgbClr val="00B050"/>
              </a:solidFill>
              <a:effectLst/>
            </a:rPr>
            <a:t>: Good reach, moderate cost</a:t>
          </a:r>
        </a:p>
        <a:p>
          <a:r>
            <a:rPr lang="en-US" sz="1100" b="1" baseline="0">
              <a:solidFill>
                <a:srgbClr val="00B050"/>
              </a:solidFill>
              <a:effectLst/>
              <a:latin typeface="+mn-lt"/>
              <a:ea typeface="+mn-ea"/>
              <a:cs typeface="+mn-cs"/>
            </a:rPr>
            <a:t>@</a:t>
          </a:r>
          <a:r>
            <a:rPr lang="en-US" sz="1100">
              <a:solidFill>
                <a:srgbClr val="00B050"/>
              </a:solidFill>
              <a:effectLst/>
              <a:latin typeface="+mn-lt"/>
              <a:ea typeface="+mn-ea"/>
              <a:cs typeface="+mn-cs"/>
            </a:rPr>
            <a:t> </a:t>
          </a:r>
          <a:r>
            <a:rPr lang="en-US" b="1">
              <a:solidFill>
                <a:srgbClr val="00B050"/>
              </a:solidFill>
              <a:effectLst/>
            </a:rPr>
            <a:t>FashionUpgrade (YouTube)</a:t>
          </a:r>
          <a:r>
            <a:rPr lang="en-US">
              <a:solidFill>
                <a:srgbClr val="00B050"/>
              </a:solidFill>
              <a:effectLst/>
            </a:rPr>
            <a:t>: High spend, low gain — needs improvement</a:t>
          </a:r>
        </a:p>
        <a:p>
          <a:r>
            <a:rPr lang="en-US" sz="1100" b="1" baseline="0">
              <a:solidFill>
                <a:srgbClr val="00B050"/>
              </a:solidFill>
              <a:effectLst/>
              <a:latin typeface="+mn-lt"/>
              <a:ea typeface="+mn-ea"/>
              <a:cs typeface="+mn-cs"/>
            </a:rPr>
            <a:t>@</a:t>
          </a:r>
          <a:r>
            <a:rPr lang="en-US" sz="1100">
              <a:solidFill>
                <a:srgbClr val="00B050"/>
              </a:solidFill>
              <a:effectLst/>
              <a:latin typeface="+mn-lt"/>
              <a:ea typeface="+mn-ea"/>
              <a:cs typeface="+mn-cs"/>
            </a:rPr>
            <a:t> </a:t>
          </a:r>
          <a:r>
            <a:rPr lang="en-US" b="1">
              <a:solidFill>
                <a:srgbClr val="00B050"/>
              </a:solidFill>
              <a:effectLst/>
            </a:rPr>
            <a:t>StyleRevolution (Twitter)</a:t>
          </a:r>
          <a:r>
            <a:rPr lang="en-US">
              <a:solidFill>
                <a:srgbClr val="00B050"/>
              </a:solidFill>
              <a:effectLst/>
            </a:rPr>
            <a:t>: Costly — shift budget to Instagram</a:t>
          </a:r>
        </a:p>
        <a:p>
          <a:r>
            <a:rPr lang="en-US" sz="1100" b="1" baseline="0">
              <a:solidFill>
                <a:srgbClr val="00B050"/>
              </a:solidFill>
              <a:effectLst/>
              <a:latin typeface="+mn-lt"/>
              <a:ea typeface="+mn-ea"/>
              <a:cs typeface="+mn-cs"/>
            </a:rPr>
            <a:t>@</a:t>
          </a:r>
          <a:r>
            <a:rPr lang="en-US" sz="1100">
              <a:solidFill>
                <a:srgbClr val="00B050"/>
              </a:solidFill>
              <a:effectLst/>
              <a:latin typeface="+mn-lt"/>
              <a:ea typeface="+mn-ea"/>
              <a:cs typeface="+mn-cs"/>
            </a:rPr>
            <a:t> </a:t>
          </a:r>
          <a:r>
            <a:rPr lang="en-US" b="1">
              <a:solidFill>
                <a:srgbClr val="00B050"/>
              </a:solidFill>
              <a:effectLst/>
            </a:rPr>
            <a:t>FashionUpgrade (Instagram)</a:t>
          </a:r>
          <a:r>
            <a:rPr lang="en-US">
              <a:solidFill>
                <a:srgbClr val="00B050"/>
              </a:solidFill>
              <a:effectLst/>
            </a:rPr>
            <a:t>: Expensive — review targeting or creative</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9</xdr:col>
      <xdr:colOff>107576</xdr:colOff>
      <xdr:row>0</xdr:row>
      <xdr:rowOff>98611</xdr:rowOff>
    </xdr:from>
    <xdr:ext cx="4993084" cy="405432"/>
    <xdr:sp macro="" textlink="">
      <xdr:nvSpPr>
        <xdr:cNvPr id="2" name="TextBox 1">
          <a:extLst>
            <a:ext uri="{FF2B5EF4-FFF2-40B4-BE49-F238E27FC236}">
              <a16:creationId xmlns:a16="http://schemas.microsoft.com/office/drawing/2014/main" id="{E8AB0B83-15FD-48D1-8EC0-4C1FEDB7B9AA}"/>
            </a:ext>
          </a:extLst>
        </xdr:cNvPr>
        <xdr:cNvSpPr txBox="1"/>
      </xdr:nvSpPr>
      <xdr:spPr>
        <a:xfrm>
          <a:off x="5593976" y="98611"/>
          <a:ext cx="4993084" cy="405432"/>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u="none">
              <a:solidFill>
                <a:schemeClr val="bg2"/>
              </a:solidFill>
            </a:rPr>
            <a:t>TASK</a:t>
          </a:r>
          <a:r>
            <a:rPr lang="en-US" sz="2000" b="1" u="none" baseline="0">
              <a:solidFill>
                <a:schemeClr val="bg2"/>
              </a:solidFill>
            </a:rPr>
            <a:t> 7 - EXPLAINATION VIDEO</a:t>
          </a:r>
          <a:endParaRPr lang="en-US" sz="2000" b="1" u="none">
            <a:solidFill>
              <a:schemeClr val="bg2"/>
            </a:solidFill>
          </a:endParaRPr>
        </a:p>
      </xdr:txBody>
    </xdr:sp>
    <xdr:clientData/>
  </xdr:oneCellAnchor>
  <xdr:oneCellAnchor>
    <xdr:from>
      <xdr:col>7</xdr:col>
      <xdr:colOff>573742</xdr:colOff>
      <xdr:row>5</xdr:row>
      <xdr:rowOff>143435</xdr:rowOff>
    </xdr:from>
    <xdr:ext cx="6615953" cy="342786"/>
    <xdr:sp macro="" textlink="">
      <xdr:nvSpPr>
        <xdr:cNvPr id="4" name="TextBox 3">
          <a:extLst>
            <a:ext uri="{FF2B5EF4-FFF2-40B4-BE49-F238E27FC236}">
              <a16:creationId xmlns:a16="http://schemas.microsoft.com/office/drawing/2014/main" id="{30F2AE6B-007E-4B07-8275-4571FC837D97}"/>
            </a:ext>
          </a:extLst>
        </xdr:cNvPr>
        <xdr:cNvSpPr txBox="1"/>
      </xdr:nvSpPr>
      <xdr:spPr>
        <a:xfrm>
          <a:off x="4840942" y="1039906"/>
          <a:ext cx="6615953" cy="342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u="sng">
              <a:solidFill>
                <a:schemeClr val="tx1"/>
              </a:solidFill>
            </a:rPr>
            <a:t>1. Weekly</a:t>
          </a:r>
          <a:r>
            <a:rPr lang="en-US" sz="1600" b="1" u="sng" baseline="0">
              <a:solidFill>
                <a:schemeClr val="tx1"/>
              </a:solidFill>
            </a:rPr>
            <a:t> follower growth per platform</a:t>
          </a:r>
          <a:endParaRPr lang="en-US" sz="1600" b="1" u="sng">
            <a:solidFill>
              <a:schemeClr val="tx1"/>
            </a:solidFill>
          </a:endParaRPr>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G bairwa" refreshedDate="46037.734757754632" createdVersion="8" refreshedVersion="8" minRefreshableVersion="3" recordCount="8" xr:uid="{6552B5C8-9F1A-4547-BC0C-D24A1BFEB2E2}">
  <cacheSource type="worksheet">
    <worksheetSource name="campaign_data_T6t4"/>
  </cacheSource>
  <cacheFields count="7">
    <cacheField name="Campaign_Name" numFmtId="0">
      <sharedItems count="4">
        <s v="StyleRevolution"/>
        <s v="MyntraFestiveEdit"/>
        <s v="FashionUpgrade"/>
        <s v="EndOfSeasonSale"/>
      </sharedItems>
    </cacheField>
    <cacheField name="Start_Date" numFmtId="14">
      <sharedItems containsSemiMixedTypes="0" containsNonDate="0" containsDate="1" containsString="0" minDate="2024-06-10T00:00:00" maxDate="2025-01-11T00:00:00"/>
    </cacheField>
    <cacheField name="End_Date" numFmtId="14">
      <sharedItems containsSemiMixedTypes="0" containsNonDate="0" containsDate="1" containsString="0" minDate="2024-07-05T00:00:00" maxDate="2025-02-11T00:00:00"/>
    </cacheField>
    <cacheField name="Target_Platforms" numFmtId="0">
      <sharedItems count="4">
        <s v="Instagram"/>
        <s v="Twitter"/>
        <s v="Facebook"/>
        <s v="YouTube"/>
      </sharedItems>
    </cacheField>
    <cacheField name="Ad_Spend_Actual" numFmtId="0">
      <sharedItems containsSemiMixedTypes="0" containsString="0" containsNumber="1" containsInteger="1" minValue="48865" maxValue="167951"/>
    </cacheField>
    <cacheField name="Net_Followers_Gained" numFmtId="0">
      <sharedItems containsSemiMixedTypes="0" containsString="0" containsNumber="1" containsInteger="1" minValue="1569" maxValue="5931"/>
    </cacheField>
    <cacheField name="Cost_per_Follower" numFmtId="2">
      <sharedItems containsSemiMixedTypes="0" containsString="0" containsNumber="1" minValue="16.411060529421682" maxValue="63.41555130656469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G bairwa" refreshedDate="46037.734758680555" createdVersion="8" refreshedVersion="8" minRefreshableVersion="3" recordCount="200" xr:uid="{3ED4F109-E951-40DB-95B1-048988462B99}">
  <cacheSource type="worksheet">
    <worksheetSource name="TBL_Engagement_summary__2"/>
  </cacheSource>
  <cacheFields count="10">
    <cacheField name="Week_Start_Date" numFmtId="14">
      <sharedItems containsSemiMixedTypes="0" containsNonDate="0" containsDate="1" containsString="0" minDate="2024-06-03T00:00:00" maxDate="2025-05-13T00:00:00"/>
    </cacheField>
    <cacheField name="Platform" numFmtId="0">
      <sharedItems count="4">
        <s v="Facebook"/>
        <s v="Instagram"/>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Net_follower/Week" numFmtId="0">
      <sharedItems containsSemiMixedTypes="0" containsString="0" containsNumber="1" containsInteger="1" minValue="-337" maxValue="1881"/>
    </cacheField>
    <cacheField name="yyyy-mm" numFmtId="0">
      <sharedItems count="12">
        <s v="2025-05"/>
        <s v="2025-04"/>
        <s v="2025-03"/>
        <s v="2025-02"/>
        <s v="2025-01"/>
        <s v="2024-12"/>
        <s v="2024-11"/>
        <s v="2024-10"/>
        <s v="2024-09"/>
        <s v="2024-08"/>
        <s v="2024-07"/>
        <s v="2024-06"/>
      </sharedItems>
    </cacheField>
    <cacheField name="yyyy-mm-d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G bairwa" refreshedDate="46037.734759143517" createdVersion="8" refreshedVersion="8" minRefreshableVersion="3" recordCount="200" xr:uid="{2D933BAB-378E-4968-B443-A7A690A248B9}">
  <cacheSource type="worksheet">
    <worksheetSource name="TBL_Engagement_summary_1"/>
  </cacheSource>
  <cacheFields count="12">
    <cacheField name="Week_Start_Date" numFmtId="14">
      <sharedItems containsSemiMixedTypes="0" containsNonDate="0" containsDate="1" containsString="0" minDate="2024-06-03T00:00:00" maxDate="2025-05-13T00:00:00" count="50">
        <d v="2025-05-12T00:00:00"/>
        <d v="2025-05-05T00:00:00"/>
        <d v="2025-04-28T00:00:00"/>
        <d v="2025-04-21T00:00:00"/>
        <d v="2025-04-14T00:00:00"/>
        <d v="2025-04-07T00:00:00"/>
        <d v="2025-03-31T00:00:00"/>
        <d v="2025-03-24T00:00:00"/>
        <d v="2025-03-17T00:00:00"/>
        <d v="2025-03-10T00:00:00"/>
        <d v="2025-03-03T00:00:00"/>
        <d v="2025-02-24T00:00:00"/>
        <d v="2025-02-17T00:00:00"/>
        <d v="2025-02-10T00:00:00"/>
        <d v="2025-02-03T00:00:00"/>
        <d v="2025-01-27T00:00:00"/>
        <d v="2025-01-20T00:00:00"/>
        <d v="2025-01-13T00:00:00"/>
        <d v="2025-01-06T00:00:00"/>
        <d v="2024-12-30T00:00:00"/>
        <d v="2024-12-23T00:00:00"/>
        <d v="2024-12-16T00:00:00"/>
        <d v="2024-12-09T00:00:00"/>
        <d v="2024-12-02T00:00:00"/>
        <d v="2024-11-25T00:00:00"/>
        <d v="2024-11-18T00:00:00"/>
        <d v="2024-11-11T00:00:00"/>
        <d v="2024-11-04T00:00:00"/>
        <d v="2024-10-28T00:00:00"/>
        <d v="2024-10-21T00:00:00"/>
        <d v="2024-10-14T00:00:00"/>
        <d v="2024-10-07T00:00:00"/>
        <d v="2024-09-30T00:00:00"/>
        <d v="2024-09-23T00:00:00"/>
        <d v="2024-09-16T00:00:00"/>
        <d v="2024-09-09T00:00:00"/>
        <d v="2024-09-02T00:00:00"/>
        <d v="2024-08-26T00:00:00"/>
        <d v="2024-08-19T00:00:00"/>
        <d v="2024-08-12T00:00:00"/>
        <d v="2024-08-05T00:00:00"/>
        <d v="2024-07-29T00:00:00"/>
        <d v="2024-07-22T00:00:00"/>
        <d v="2024-07-15T00:00:00"/>
        <d v="2024-07-08T00:00:00"/>
        <d v="2024-07-01T00:00:00"/>
        <d v="2024-06-24T00:00:00"/>
        <d v="2024-06-17T00:00:00"/>
        <d v="2024-06-10T00:00:00"/>
        <d v="2024-06-03T00:00:00"/>
      </sharedItems>
      <fieldGroup par="11"/>
    </cacheField>
    <cacheField name="Platform" numFmtId="0">
      <sharedItems count="4">
        <s v="Facebook"/>
        <s v="Instagram"/>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Net_follower/Week" numFmtId="0">
      <sharedItems containsSemiMixedTypes="0" containsString="0" containsNumber="1" containsInteger="1" minValue="-337" maxValue="1881"/>
    </cacheField>
    <cacheField name="yyyy-mm" numFmtId="0">
      <sharedItems/>
    </cacheField>
    <cacheField name="Months (Week_Start_Date)" numFmtId="0" databaseField="0">
      <fieldGroup base="0">
        <rangePr groupBy="months" startDate="2024-06-03T00:00:00" endDate="2025-05-13T00:00:00"/>
        <groupItems count="14">
          <s v="&lt;6/3/2024"/>
          <s v="Jan"/>
          <s v="Feb"/>
          <s v="Mar"/>
          <s v="Apr"/>
          <s v="May"/>
          <s v="Jun"/>
          <s v="Jul"/>
          <s v="Aug"/>
          <s v="Sep"/>
          <s v="Oct"/>
          <s v="Nov"/>
          <s v="Dec"/>
          <s v="&gt;5/13/2025"/>
        </groupItems>
      </fieldGroup>
    </cacheField>
    <cacheField name="Quarters (Week_Start_Date)" numFmtId="0" databaseField="0">
      <fieldGroup base="0">
        <rangePr groupBy="quarters" startDate="2024-06-03T00:00:00" endDate="2025-05-13T00:00:00"/>
        <groupItems count="6">
          <s v="&lt;6/3/2024"/>
          <s v="Qtr1"/>
          <s v="Qtr2"/>
          <s v="Qtr3"/>
          <s v="Qtr4"/>
          <s v="&gt;5/13/2025"/>
        </groupItems>
      </fieldGroup>
    </cacheField>
    <cacheField name="Years (Week_Start_Date)" numFmtId="0" databaseField="0">
      <fieldGroup base="0">
        <rangePr groupBy="years" startDate="2024-06-03T00:00:00" endDate="2025-05-13T00:00:00"/>
        <groupItems count="4">
          <s v="&lt;6/3/2024"/>
          <s v="2024"/>
          <s v="2025"/>
          <s v="&gt;5/13/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G bairwa" refreshedDate="46037.734760763888" createdVersion="8" refreshedVersion="8" minRefreshableVersion="3" recordCount="8" xr:uid="{0D744B6A-3478-49CA-9717-42A588811928}">
  <cacheSource type="worksheet">
    <worksheetSource name="TBL_Campaign_Data__2"/>
  </cacheSource>
  <cacheFields count="3">
    <cacheField name="Campaign_Name" numFmtId="0">
      <sharedItems count="4">
        <s v="StyleRevolution"/>
        <s v="MyntraFestiveEdit"/>
        <s v="EndOfSeasonSale"/>
        <s v="FashionUpgrade"/>
      </sharedItems>
    </cacheField>
    <cacheField name="Target_Platforms" numFmtId="0">
      <sharedItems count="4">
        <s v="Instagram"/>
        <s v="Facebook"/>
        <s v="Twitter"/>
        <s v="YouTube"/>
      </sharedItems>
    </cacheField>
    <cacheField name="Net_Followers" numFmtId="0">
      <sharedItems containsSemiMixedTypes="0" containsString="0" containsNumber="1" containsInteger="1" minValue="1569" maxValue="593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G bairwa" refreshedDate="46037.734761574073" createdVersion="8" refreshedVersion="8" minRefreshableVersion="3" recordCount="456" xr:uid="{B2CBDA67-AFBA-438F-8459-A08E2B29DD19}">
  <cacheSource type="worksheet">
    <worksheetSource name="TBL_Post_1"/>
  </cacheSource>
  <cacheFields count="19">
    <cacheField name="Post ID" numFmtId="0">
      <sharedItems count="30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sharedItems>
    </cacheField>
    <cacheField name="Platform" numFmtId="0">
      <sharedItems count="4">
        <s v="Twitter"/>
        <s v="YouTube"/>
        <s v="Instagram"/>
        <s v="Facebook"/>
      </sharedItems>
    </cacheField>
    <cacheField name="Date" numFmtId="16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ount="6">
        <s v="Explore the latest reel on Myntra! Trendy styles await."/>
        <s v="Explore the latest text on Myntra! Trendy styles await."/>
        <s v="Explore the latest story on Myntra! Trendy styles await."/>
        <s v="Explore the latest carousel on Myntra! Trendy styles await."/>
        <s v="Explore the latest image on Myntra! Trendy styles await."/>
        <s v="Explore the latest video on Myntra! Trendy styles await."/>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Campaign_Name" numFmtId="0">
      <sharedItems count="4">
        <s v="FashionUpgrade"/>
        <s v="EndOfSeasonSale"/>
        <s v="MyntraFestiveEdit"/>
        <s v="StyleRevolution"/>
      </sharedItems>
    </cacheField>
    <cacheField name="Engagement Rate" numFmtId="10">
      <sharedItems containsSemiMixedTypes="0" containsString="0" containsNumber="1" minValue="5.2551586421122697E-2" maxValue="1.81292517006803"/>
    </cacheField>
    <cacheField name="CTR" numFmtId="10">
      <sharedItems containsSemiMixedTypes="0" containsString="0" containsNumber="1" minValue="1.5862524785195E-4" maxValue="0.49661016949152498"/>
    </cacheField>
    <cacheField name="Total Interactions" numFmtId="0">
      <sharedItems containsSemiMixedTypes="0" containsString="0" containsNumber="1" containsInteger="1" minValue="315" maxValue="6278"/>
    </cacheField>
    <cacheField name="Tags" numFmtId="0">
      <sharedItems count="15">
        <s v="#MyntraSale"/>
        <s v="#MyntraFashion"/>
        <s v="#StyleWithMyntra"/>
        <s v="#MyntraTrend"/>
        <s v="#FashionDeals"/>
        <s v="Myntrasale" u="1"/>
        <s v="Myntrafashion" u="1"/>
        <s v="Stylewithmyntra" u="1"/>
        <s v="Myntratrend" u="1"/>
        <s v="Fashiondeals" u="1"/>
        <s v="Myntrafashion," u="1"/>
        <s v="Stylewithmyntra," u="1"/>
        <s v="Myntrasale," u="1"/>
        <s v="Myntratrend," u="1"/>
        <s v="Fashiondeals," u="1"/>
      </sharedItems>
    </cacheField>
    <cacheField name="Period" numFmtId="0">
      <sharedItems count="3">
        <s v="Outside"/>
        <s v="During"/>
        <s v="Before"/>
      </sharedItems>
    </cacheField>
    <cacheField name="Campaign StartDate" numFmtId="164">
      <sharedItems containsSemiMixedTypes="0" containsNonDate="0" containsDate="1" containsString="0" minDate="2024-06-10T00:00:00" maxDate="2025-01-11T00:00:00"/>
    </cacheField>
    <cacheField name="Campaign EndDate" numFmtId="164">
      <sharedItems containsSemiMixedTypes="0" containsNonDate="0" containsDate="1" containsString="0" minDate="2024-07-05T00:00:00" maxDate="2025-02-1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d v="2025-01-10T00:00:00"/>
    <d v="2025-02-10T00:00:00"/>
    <x v="0"/>
    <n v="97334"/>
    <n v="5931"/>
    <n v="16.411060529421682"/>
  </r>
  <r>
    <x v="0"/>
    <d v="2025-01-10T00:00:00"/>
    <d v="2025-02-10T00:00:00"/>
    <x v="1"/>
    <n v="167951"/>
    <n v="3944"/>
    <n v="42.583924949290058"/>
  </r>
  <r>
    <x v="1"/>
    <d v="2024-10-05T00:00:00"/>
    <d v="2024-11-05T00:00:00"/>
    <x v="0"/>
    <n v="159690"/>
    <n v="5331"/>
    <n v="29.954980303882948"/>
  </r>
  <r>
    <x v="1"/>
    <d v="2024-10-05T00:00:00"/>
    <d v="2024-11-05T00:00:00"/>
    <x v="2"/>
    <n v="129155"/>
    <n v="3312"/>
    <n v="38.996074879227052"/>
  </r>
  <r>
    <x v="2"/>
    <d v="2024-08-01T00:00:00"/>
    <d v="2024-08-31T00:00:00"/>
    <x v="0"/>
    <n v="156818"/>
    <n v="3362"/>
    <n v="46.644259369422961"/>
  </r>
  <r>
    <x v="2"/>
    <d v="2024-08-01T00:00:00"/>
    <d v="2024-08-31T00:00:00"/>
    <x v="3"/>
    <n v="99499"/>
    <n v="1569"/>
    <n v="63.415551306564694"/>
  </r>
  <r>
    <x v="3"/>
    <d v="2024-06-10T00:00:00"/>
    <d v="2024-07-05T00:00:00"/>
    <x v="0"/>
    <n v="48865"/>
    <n v="1820"/>
    <n v="26.848901098901099"/>
  </r>
  <r>
    <x v="3"/>
    <d v="2024-06-10T00:00:00"/>
    <d v="2024-07-05T00:00:00"/>
    <x v="2"/>
    <n v="127536"/>
    <n v="4399"/>
    <n v="28.99204364628324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5-05-12T00:00:00"/>
    <x v="0"/>
    <n v="837"/>
    <n v="430"/>
    <n v="364820"/>
    <n v="4"/>
    <n v="49400"/>
    <n v="407"/>
    <x v="0"/>
    <s v="2025-05-12"/>
  </r>
  <r>
    <d v="2025-05-05T00:00:00"/>
    <x v="0"/>
    <n v="405"/>
    <n v="66"/>
    <n v="418696"/>
    <n v="5.59"/>
    <n v="48419"/>
    <n v="339"/>
    <x v="0"/>
    <s v="2025-05-05"/>
  </r>
  <r>
    <d v="2025-04-28T00:00:00"/>
    <x v="0"/>
    <n v="833"/>
    <n v="380"/>
    <n v="224830"/>
    <n v="3.86"/>
    <n v="3582"/>
    <n v="453"/>
    <x v="1"/>
    <s v="2025-04-28"/>
  </r>
  <r>
    <d v="2025-04-21T00:00:00"/>
    <x v="0"/>
    <n v="1375"/>
    <n v="330"/>
    <n v="377382"/>
    <n v="2.6"/>
    <n v="7875"/>
    <n v="1045"/>
    <x v="1"/>
    <s v="2025-04-21"/>
  </r>
  <r>
    <d v="2025-04-14T00:00:00"/>
    <x v="0"/>
    <n v="198"/>
    <n v="373"/>
    <n v="70707"/>
    <n v="4.83"/>
    <n v="25920"/>
    <n v="-175"/>
    <x v="1"/>
    <s v="2025-04-14"/>
  </r>
  <r>
    <d v="2025-04-07T00:00:00"/>
    <x v="0"/>
    <n v="1307"/>
    <n v="278"/>
    <n v="98596"/>
    <n v="2.4900000000000002"/>
    <n v="47603"/>
    <n v="1029"/>
    <x v="1"/>
    <s v="2025-04-07"/>
  </r>
  <r>
    <d v="2025-03-31T00:00:00"/>
    <x v="0"/>
    <n v="988"/>
    <n v="474"/>
    <n v="370070"/>
    <n v="9.4600000000000009"/>
    <n v="23461"/>
    <n v="514"/>
    <x v="2"/>
    <s v="2025-03-31"/>
  </r>
  <r>
    <d v="2025-03-24T00:00:00"/>
    <x v="0"/>
    <n v="609"/>
    <n v="135"/>
    <n v="373606"/>
    <n v="8.52"/>
    <n v="21453"/>
    <n v="474"/>
    <x v="2"/>
    <s v="2025-03-24"/>
  </r>
  <r>
    <d v="2025-03-17T00:00:00"/>
    <x v="0"/>
    <n v="1358"/>
    <n v="242"/>
    <n v="342129"/>
    <n v="4.9400000000000004"/>
    <n v="29116"/>
    <n v="1116"/>
    <x v="2"/>
    <s v="2025-03-17"/>
  </r>
  <r>
    <d v="2025-03-10T00:00:00"/>
    <x v="0"/>
    <n v="1098"/>
    <n v="190"/>
    <n v="340842"/>
    <n v="9.39"/>
    <n v="21539"/>
    <n v="908"/>
    <x v="2"/>
    <s v="2025-03-10"/>
  </r>
  <r>
    <d v="2025-03-03T00:00:00"/>
    <x v="0"/>
    <n v="345"/>
    <n v="464"/>
    <n v="366881"/>
    <n v="4.55"/>
    <n v="20553"/>
    <n v="-119"/>
    <x v="2"/>
    <s v="2025-03-03"/>
  </r>
  <r>
    <d v="2025-02-24T00:00:00"/>
    <x v="0"/>
    <n v="1884"/>
    <n v="177"/>
    <n v="230448"/>
    <n v="7.8"/>
    <n v="22713"/>
    <n v="1707"/>
    <x v="3"/>
    <s v="2025-02-24"/>
  </r>
  <r>
    <d v="2025-02-17T00:00:00"/>
    <x v="0"/>
    <n v="1895"/>
    <n v="305"/>
    <n v="104967"/>
    <n v="3.85"/>
    <n v="31853"/>
    <n v="1590"/>
    <x v="3"/>
    <s v="2025-02-17"/>
  </r>
  <r>
    <d v="2025-02-10T00:00:00"/>
    <x v="0"/>
    <n v="1294"/>
    <n v="382"/>
    <n v="309914"/>
    <n v="8.0299999999999994"/>
    <n v="23489"/>
    <n v="912"/>
    <x v="3"/>
    <s v="2025-02-10"/>
  </r>
  <r>
    <d v="2025-02-03T00:00:00"/>
    <x v="0"/>
    <n v="1159"/>
    <n v="411"/>
    <n v="135987"/>
    <n v="8.6999999999999993"/>
    <n v="40323"/>
    <n v="748"/>
    <x v="3"/>
    <s v="2025-02-03"/>
  </r>
  <r>
    <d v="2025-01-27T00:00:00"/>
    <x v="0"/>
    <n v="1249"/>
    <n v="351"/>
    <n v="321307"/>
    <n v="6.37"/>
    <n v="20560"/>
    <n v="898"/>
    <x v="4"/>
    <s v="2025-01-27"/>
  </r>
  <r>
    <d v="2025-01-20T00:00:00"/>
    <x v="0"/>
    <n v="663"/>
    <n v="236"/>
    <n v="479490"/>
    <n v="4.51"/>
    <n v="23853"/>
    <n v="427"/>
    <x v="4"/>
    <s v="2025-01-20"/>
  </r>
  <r>
    <d v="2025-01-13T00:00:00"/>
    <x v="0"/>
    <n v="651"/>
    <n v="353"/>
    <n v="224699"/>
    <n v="5.61"/>
    <n v="45708"/>
    <n v="298"/>
    <x v="4"/>
    <s v="2025-01-13"/>
  </r>
  <r>
    <d v="2025-01-06T00:00:00"/>
    <x v="0"/>
    <n v="816"/>
    <n v="196"/>
    <n v="95728"/>
    <n v="8.1999999999999993"/>
    <n v="17951"/>
    <n v="620"/>
    <x v="4"/>
    <s v="2025-01-06"/>
  </r>
  <r>
    <d v="2024-12-30T00:00:00"/>
    <x v="0"/>
    <n v="1980"/>
    <n v="204"/>
    <n v="379431"/>
    <n v="3.09"/>
    <n v="25140"/>
    <n v="1776"/>
    <x v="5"/>
    <s v="2024-12-30"/>
  </r>
  <r>
    <d v="2024-12-23T00:00:00"/>
    <x v="0"/>
    <n v="1155"/>
    <n v="425"/>
    <n v="93347"/>
    <n v="2.02"/>
    <n v="47502"/>
    <n v="730"/>
    <x v="5"/>
    <s v="2024-12-23"/>
  </r>
  <r>
    <d v="2024-12-16T00:00:00"/>
    <x v="0"/>
    <n v="1623"/>
    <n v="246"/>
    <n v="415815"/>
    <n v="8.11"/>
    <n v="18656"/>
    <n v="1377"/>
    <x v="5"/>
    <s v="2024-12-16"/>
  </r>
  <r>
    <d v="2024-12-09T00:00:00"/>
    <x v="0"/>
    <n v="1514"/>
    <n v="141"/>
    <n v="35842"/>
    <n v="7.47"/>
    <n v="18601"/>
    <n v="1373"/>
    <x v="5"/>
    <s v="2024-12-09"/>
  </r>
  <r>
    <d v="2024-12-02T00:00:00"/>
    <x v="0"/>
    <n v="1902"/>
    <n v="196"/>
    <n v="470269"/>
    <n v="4.79"/>
    <n v="26103"/>
    <n v="1706"/>
    <x v="5"/>
    <s v="2024-12-02"/>
  </r>
  <r>
    <d v="2024-11-25T00:00:00"/>
    <x v="0"/>
    <n v="1710"/>
    <n v="378"/>
    <n v="336661"/>
    <n v="6.2"/>
    <n v="28498"/>
    <n v="1332"/>
    <x v="6"/>
    <s v="2024-11-25"/>
  </r>
  <r>
    <d v="2024-11-18T00:00:00"/>
    <x v="0"/>
    <n v="513"/>
    <n v="441"/>
    <n v="338847"/>
    <n v="2.68"/>
    <n v="39997"/>
    <n v="72"/>
    <x v="6"/>
    <s v="2024-11-18"/>
  </r>
  <r>
    <d v="2024-11-11T00:00:00"/>
    <x v="0"/>
    <n v="171"/>
    <n v="277"/>
    <n v="309483"/>
    <n v="8.6999999999999993"/>
    <n v="38452"/>
    <n v="-106"/>
    <x v="6"/>
    <s v="2024-11-11"/>
  </r>
  <r>
    <d v="2024-11-04T00:00:00"/>
    <x v="0"/>
    <n v="947"/>
    <n v="407"/>
    <n v="319186"/>
    <n v="3.32"/>
    <n v="4996"/>
    <n v="540"/>
    <x v="6"/>
    <s v="2024-11-04"/>
  </r>
  <r>
    <d v="2024-10-28T00:00:00"/>
    <x v="0"/>
    <n v="859"/>
    <n v="473"/>
    <n v="209987"/>
    <n v="4.46"/>
    <n v="30214"/>
    <n v="386"/>
    <x v="7"/>
    <s v="2024-10-28"/>
  </r>
  <r>
    <d v="2024-10-21T00:00:00"/>
    <x v="0"/>
    <n v="508"/>
    <n v="69"/>
    <n v="23492"/>
    <n v="3.16"/>
    <n v="42824"/>
    <n v="439"/>
    <x v="7"/>
    <s v="2024-10-21"/>
  </r>
  <r>
    <d v="2024-10-14T00:00:00"/>
    <x v="0"/>
    <n v="643"/>
    <n v="358"/>
    <n v="157599"/>
    <n v="3.88"/>
    <n v="7285"/>
    <n v="285"/>
    <x v="7"/>
    <s v="2024-10-14"/>
  </r>
  <r>
    <d v="2024-10-07T00:00:00"/>
    <x v="0"/>
    <n v="1929"/>
    <n v="267"/>
    <n v="379363"/>
    <n v="1.75"/>
    <n v="43836"/>
    <n v="1662"/>
    <x v="7"/>
    <s v="2024-10-07"/>
  </r>
  <r>
    <d v="2024-09-30T00:00:00"/>
    <x v="0"/>
    <n v="250"/>
    <n v="429"/>
    <n v="453423"/>
    <n v="1.77"/>
    <n v="2315"/>
    <n v="-179"/>
    <x v="8"/>
    <s v="2024-09-30"/>
  </r>
  <r>
    <d v="2024-09-23T00:00:00"/>
    <x v="0"/>
    <n v="198"/>
    <n v="217"/>
    <n v="239753"/>
    <n v="7.36"/>
    <n v="11901"/>
    <n v="-19"/>
    <x v="8"/>
    <s v="2024-09-23"/>
  </r>
  <r>
    <d v="2024-09-16T00:00:00"/>
    <x v="0"/>
    <n v="443"/>
    <n v="345"/>
    <n v="474162"/>
    <n v="9.1999999999999993"/>
    <n v="47462"/>
    <n v="98"/>
    <x v="8"/>
    <s v="2024-09-16"/>
  </r>
  <r>
    <d v="2024-09-09T00:00:00"/>
    <x v="0"/>
    <n v="1842"/>
    <n v="414"/>
    <n v="307524"/>
    <n v="1.76"/>
    <n v="40478"/>
    <n v="1428"/>
    <x v="8"/>
    <s v="2024-09-09"/>
  </r>
  <r>
    <d v="2024-09-02T00:00:00"/>
    <x v="0"/>
    <n v="1520"/>
    <n v="475"/>
    <n v="496982"/>
    <n v="6.41"/>
    <n v="24384"/>
    <n v="1045"/>
    <x v="8"/>
    <s v="2024-09-02"/>
  </r>
  <r>
    <d v="2024-08-26T00:00:00"/>
    <x v="0"/>
    <n v="248"/>
    <n v="211"/>
    <n v="379380"/>
    <n v="9.0399999999999991"/>
    <n v="26925"/>
    <n v="37"/>
    <x v="9"/>
    <s v="2024-08-26"/>
  </r>
  <r>
    <d v="2024-08-19T00:00:00"/>
    <x v="0"/>
    <n v="1078"/>
    <n v="20"/>
    <n v="183924"/>
    <n v="8.84"/>
    <n v="14203"/>
    <n v="1058"/>
    <x v="9"/>
    <s v="2024-08-19"/>
  </r>
  <r>
    <d v="2024-08-12T00:00:00"/>
    <x v="0"/>
    <n v="1534"/>
    <n v="200"/>
    <n v="307612"/>
    <n v="6.01"/>
    <n v="37903"/>
    <n v="1334"/>
    <x v="9"/>
    <s v="2024-08-12"/>
  </r>
  <r>
    <d v="2024-08-05T00:00:00"/>
    <x v="0"/>
    <n v="214"/>
    <n v="411"/>
    <n v="125034"/>
    <n v="6.11"/>
    <n v="26455"/>
    <n v="-197"/>
    <x v="9"/>
    <s v="2024-08-05"/>
  </r>
  <r>
    <d v="2024-07-29T00:00:00"/>
    <x v="0"/>
    <n v="160"/>
    <n v="478"/>
    <n v="435034"/>
    <n v="7.73"/>
    <n v="4839"/>
    <n v="-318"/>
    <x v="10"/>
    <s v="2024-07-29"/>
  </r>
  <r>
    <d v="2024-07-22T00:00:00"/>
    <x v="0"/>
    <n v="1391"/>
    <n v="430"/>
    <n v="295032"/>
    <n v="7.86"/>
    <n v="26067"/>
    <n v="961"/>
    <x v="10"/>
    <s v="2024-07-22"/>
  </r>
  <r>
    <d v="2024-07-15T00:00:00"/>
    <x v="0"/>
    <n v="170"/>
    <n v="334"/>
    <n v="334626"/>
    <n v="6.44"/>
    <n v="43420"/>
    <n v="-164"/>
    <x v="10"/>
    <s v="2024-07-15"/>
  </r>
  <r>
    <d v="2024-07-08T00:00:00"/>
    <x v="0"/>
    <n v="350"/>
    <n v="41"/>
    <n v="251694"/>
    <n v="1.91"/>
    <n v="38610"/>
    <n v="309"/>
    <x v="10"/>
    <s v="2024-07-08"/>
  </r>
  <r>
    <d v="2024-07-01T00:00:00"/>
    <x v="0"/>
    <n v="505"/>
    <n v="441"/>
    <n v="220020"/>
    <n v="4.4800000000000004"/>
    <n v="42307"/>
    <n v="64"/>
    <x v="10"/>
    <s v="2024-07-01"/>
  </r>
  <r>
    <d v="2024-06-24T00:00:00"/>
    <x v="0"/>
    <n v="1779"/>
    <n v="109"/>
    <n v="26295"/>
    <n v="9.1199999999999992"/>
    <n v="30635"/>
    <n v="1670"/>
    <x v="11"/>
    <s v="2024-06-24"/>
  </r>
  <r>
    <d v="2024-06-17T00:00:00"/>
    <x v="0"/>
    <n v="1753"/>
    <n v="371"/>
    <n v="169496"/>
    <n v="8.11"/>
    <n v="46670"/>
    <n v="1382"/>
    <x v="11"/>
    <s v="2024-06-17"/>
  </r>
  <r>
    <d v="2024-06-10T00:00:00"/>
    <x v="0"/>
    <n v="1697"/>
    <n v="414"/>
    <n v="316555"/>
    <n v="2.37"/>
    <n v="7924"/>
    <n v="1283"/>
    <x v="11"/>
    <s v="2024-06-10"/>
  </r>
  <r>
    <d v="2024-06-03T00:00:00"/>
    <x v="0"/>
    <n v="1312"/>
    <n v="310"/>
    <n v="42654"/>
    <n v="4.9800000000000004"/>
    <n v="9566"/>
    <n v="1002"/>
    <x v="11"/>
    <s v="2024-06-03"/>
  </r>
  <r>
    <d v="2025-05-12T00:00:00"/>
    <x v="1"/>
    <n v="1765"/>
    <n v="109"/>
    <n v="468301"/>
    <n v="1.82"/>
    <n v="20042"/>
    <n v="1656"/>
    <x v="0"/>
    <s v="2025-05-12"/>
  </r>
  <r>
    <d v="2025-05-05T00:00:00"/>
    <x v="1"/>
    <n v="1957"/>
    <n v="76"/>
    <n v="447902"/>
    <n v="6.09"/>
    <n v="33381"/>
    <n v="1881"/>
    <x v="0"/>
    <s v="2025-05-05"/>
  </r>
  <r>
    <d v="2025-04-28T00:00:00"/>
    <x v="1"/>
    <n v="1693"/>
    <n v="154"/>
    <n v="445944"/>
    <n v="5.69"/>
    <n v="14216"/>
    <n v="1539"/>
    <x v="1"/>
    <s v="2025-04-28"/>
  </r>
  <r>
    <d v="2025-04-21T00:00:00"/>
    <x v="1"/>
    <n v="961"/>
    <n v="358"/>
    <n v="62942"/>
    <n v="6.8"/>
    <n v="18693"/>
    <n v="603"/>
    <x v="1"/>
    <s v="2025-04-21"/>
  </r>
  <r>
    <d v="2025-04-14T00:00:00"/>
    <x v="1"/>
    <n v="198"/>
    <n v="358"/>
    <n v="66682"/>
    <n v="6.73"/>
    <n v="2293"/>
    <n v="-160"/>
    <x v="1"/>
    <s v="2025-04-14"/>
  </r>
  <r>
    <d v="2025-04-07T00:00:00"/>
    <x v="1"/>
    <n v="559"/>
    <n v="392"/>
    <n v="78789"/>
    <n v="3.19"/>
    <n v="2436"/>
    <n v="167"/>
    <x v="1"/>
    <s v="2025-04-07"/>
  </r>
  <r>
    <d v="2025-03-31T00:00:00"/>
    <x v="1"/>
    <n v="1033"/>
    <n v="392"/>
    <n v="282780"/>
    <n v="6.27"/>
    <n v="23140"/>
    <n v="641"/>
    <x v="2"/>
    <s v="2025-03-31"/>
  </r>
  <r>
    <d v="2025-03-24T00:00:00"/>
    <x v="1"/>
    <n v="490"/>
    <n v="29"/>
    <n v="364810"/>
    <n v="1.53"/>
    <n v="49077"/>
    <n v="461"/>
    <x v="2"/>
    <s v="2025-03-24"/>
  </r>
  <r>
    <d v="2025-03-17T00:00:00"/>
    <x v="1"/>
    <n v="1102"/>
    <n v="422"/>
    <n v="410330"/>
    <n v="7.74"/>
    <n v="9480"/>
    <n v="680"/>
    <x v="2"/>
    <s v="2025-03-17"/>
  </r>
  <r>
    <d v="2025-03-10T00:00:00"/>
    <x v="1"/>
    <n v="393"/>
    <n v="181"/>
    <n v="462142"/>
    <n v="7.23"/>
    <n v="6296"/>
    <n v="212"/>
    <x v="2"/>
    <s v="2025-03-10"/>
  </r>
  <r>
    <d v="2025-03-03T00:00:00"/>
    <x v="1"/>
    <n v="1371"/>
    <n v="56"/>
    <n v="257579"/>
    <n v="8.6199999999999992"/>
    <n v="33799"/>
    <n v="1315"/>
    <x v="2"/>
    <s v="2025-03-03"/>
  </r>
  <r>
    <d v="2025-02-24T00:00:00"/>
    <x v="1"/>
    <n v="1440"/>
    <n v="65"/>
    <n v="126524"/>
    <n v="4.34"/>
    <n v="49772"/>
    <n v="1375"/>
    <x v="3"/>
    <s v="2025-02-24"/>
  </r>
  <r>
    <d v="2025-02-17T00:00:00"/>
    <x v="1"/>
    <n v="1138"/>
    <n v="173"/>
    <n v="453243"/>
    <n v="2.86"/>
    <n v="44097"/>
    <n v="965"/>
    <x v="3"/>
    <s v="2025-02-17"/>
  </r>
  <r>
    <d v="2025-02-10T00:00:00"/>
    <x v="1"/>
    <n v="1957"/>
    <n v="234"/>
    <n v="222126"/>
    <n v="4.6100000000000003"/>
    <n v="3314"/>
    <n v="1723"/>
    <x v="3"/>
    <s v="2025-02-10"/>
  </r>
  <r>
    <d v="2025-02-03T00:00:00"/>
    <x v="1"/>
    <n v="1556"/>
    <n v="476"/>
    <n v="351556"/>
    <n v="3.89"/>
    <n v="10825"/>
    <n v="1080"/>
    <x v="3"/>
    <s v="2025-02-03"/>
  </r>
  <r>
    <d v="2025-01-27T00:00:00"/>
    <x v="1"/>
    <n v="115"/>
    <n v="281"/>
    <n v="357265"/>
    <n v="9.23"/>
    <n v="25525"/>
    <n v="-166"/>
    <x v="4"/>
    <s v="2025-01-27"/>
  </r>
  <r>
    <d v="2025-01-20T00:00:00"/>
    <x v="1"/>
    <n v="1748"/>
    <n v="176"/>
    <n v="383681"/>
    <n v="9.24"/>
    <n v="43122"/>
    <n v="1572"/>
    <x v="4"/>
    <s v="2025-01-20"/>
  </r>
  <r>
    <d v="2025-01-13T00:00:00"/>
    <x v="1"/>
    <n v="1855"/>
    <n v="133"/>
    <n v="349413"/>
    <n v="3.3"/>
    <n v="14548"/>
    <n v="1722"/>
    <x v="4"/>
    <s v="2025-01-13"/>
  </r>
  <r>
    <d v="2025-01-06T00:00:00"/>
    <x v="1"/>
    <n v="1013"/>
    <n v="110"/>
    <n v="466382"/>
    <n v="5.3"/>
    <n v="37132"/>
    <n v="903"/>
    <x v="4"/>
    <s v="2025-01-06"/>
  </r>
  <r>
    <d v="2024-12-30T00:00:00"/>
    <x v="1"/>
    <n v="1814"/>
    <n v="49"/>
    <n v="140804"/>
    <n v="1.76"/>
    <n v="4313"/>
    <n v="1765"/>
    <x v="5"/>
    <s v="2024-12-30"/>
  </r>
  <r>
    <d v="2024-12-23T00:00:00"/>
    <x v="1"/>
    <n v="1092"/>
    <n v="408"/>
    <n v="280795"/>
    <n v="8.44"/>
    <n v="4683"/>
    <n v="684"/>
    <x v="5"/>
    <s v="2024-12-23"/>
  </r>
  <r>
    <d v="2024-12-16T00:00:00"/>
    <x v="1"/>
    <n v="1502"/>
    <n v="70"/>
    <n v="465553"/>
    <n v="3.32"/>
    <n v="20692"/>
    <n v="1432"/>
    <x v="5"/>
    <s v="2024-12-16"/>
  </r>
  <r>
    <d v="2024-12-09T00:00:00"/>
    <x v="1"/>
    <n v="1494"/>
    <n v="375"/>
    <n v="220616"/>
    <n v="1.81"/>
    <n v="22724"/>
    <n v="1119"/>
    <x v="5"/>
    <s v="2024-12-09"/>
  </r>
  <r>
    <d v="2024-12-02T00:00:00"/>
    <x v="1"/>
    <n v="1696"/>
    <n v="71"/>
    <n v="421957"/>
    <n v="3.79"/>
    <n v="36103"/>
    <n v="1625"/>
    <x v="5"/>
    <s v="2024-12-02"/>
  </r>
  <r>
    <d v="2024-11-25T00:00:00"/>
    <x v="1"/>
    <n v="1854"/>
    <n v="161"/>
    <n v="282466"/>
    <n v="5.17"/>
    <n v="1810"/>
    <n v="1693"/>
    <x v="6"/>
    <s v="2024-11-25"/>
  </r>
  <r>
    <d v="2024-11-18T00:00:00"/>
    <x v="1"/>
    <n v="187"/>
    <n v="236"/>
    <n v="51087"/>
    <n v="9.41"/>
    <n v="29533"/>
    <n v="-49"/>
    <x v="6"/>
    <s v="2024-11-18"/>
  </r>
  <r>
    <d v="2024-11-11T00:00:00"/>
    <x v="1"/>
    <n v="1075"/>
    <n v="173"/>
    <n v="51395"/>
    <n v="4.66"/>
    <n v="47812"/>
    <n v="902"/>
    <x v="6"/>
    <s v="2024-11-11"/>
  </r>
  <r>
    <d v="2024-11-04T00:00:00"/>
    <x v="1"/>
    <n v="1466"/>
    <n v="69"/>
    <n v="54935"/>
    <n v="6.85"/>
    <n v="36484"/>
    <n v="1397"/>
    <x v="6"/>
    <s v="2024-11-04"/>
  </r>
  <r>
    <d v="2024-10-28T00:00:00"/>
    <x v="1"/>
    <n v="642"/>
    <n v="66"/>
    <n v="346522"/>
    <n v="5.85"/>
    <n v="13116"/>
    <n v="576"/>
    <x v="7"/>
    <s v="2024-10-28"/>
  </r>
  <r>
    <d v="2024-10-21T00:00:00"/>
    <x v="1"/>
    <n v="703"/>
    <n v="441"/>
    <n v="357089"/>
    <n v="6.5"/>
    <n v="32478"/>
    <n v="262"/>
    <x v="7"/>
    <s v="2024-10-21"/>
  </r>
  <r>
    <d v="2024-10-14T00:00:00"/>
    <x v="1"/>
    <n v="1527"/>
    <n v="303"/>
    <n v="388555"/>
    <n v="8.9"/>
    <n v="36397"/>
    <n v="1224"/>
    <x v="7"/>
    <s v="2024-10-14"/>
  </r>
  <r>
    <d v="2024-10-07T00:00:00"/>
    <x v="1"/>
    <n v="1939"/>
    <n v="67"/>
    <n v="187183"/>
    <n v="6.25"/>
    <n v="41215"/>
    <n v="1872"/>
    <x v="7"/>
    <s v="2024-10-07"/>
  </r>
  <r>
    <d v="2024-09-30T00:00:00"/>
    <x v="1"/>
    <n v="1433"/>
    <n v="408"/>
    <n v="370269"/>
    <n v="3.3"/>
    <n v="30575"/>
    <n v="1025"/>
    <x v="8"/>
    <s v="2024-09-30"/>
  </r>
  <r>
    <d v="2024-09-23T00:00:00"/>
    <x v="1"/>
    <n v="817"/>
    <n v="151"/>
    <n v="422625"/>
    <n v="2.36"/>
    <n v="1083"/>
    <n v="666"/>
    <x v="8"/>
    <s v="2024-09-23"/>
  </r>
  <r>
    <d v="2024-09-16T00:00:00"/>
    <x v="1"/>
    <n v="778"/>
    <n v="401"/>
    <n v="50793"/>
    <n v="3.4"/>
    <n v="21939"/>
    <n v="377"/>
    <x v="8"/>
    <s v="2024-09-16"/>
  </r>
  <r>
    <d v="2024-09-09T00:00:00"/>
    <x v="1"/>
    <n v="1592"/>
    <n v="20"/>
    <n v="378054"/>
    <n v="9.09"/>
    <n v="26663"/>
    <n v="1572"/>
    <x v="8"/>
    <s v="2024-09-09"/>
  </r>
  <r>
    <d v="2024-09-02T00:00:00"/>
    <x v="1"/>
    <n v="1429"/>
    <n v="182"/>
    <n v="101332"/>
    <n v="7.16"/>
    <n v="37829"/>
    <n v="1247"/>
    <x v="8"/>
    <s v="2024-09-02"/>
  </r>
  <r>
    <d v="2024-08-26T00:00:00"/>
    <x v="1"/>
    <n v="1685"/>
    <n v="76"/>
    <n v="453799"/>
    <n v="5.71"/>
    <n v="24913"/>
    <n v="1609"/>
    <x v="9"/>
    <s v="2024-08-26"/>
  </r>
  <r>
    <d v="2024-08-19T00:00:00"/>
    <x v="1"/>
    <n v="215"/>
    <n v="139"/>
    <n v="325444"/>
    <n v="3.25"/>
    <n v="35501"/>
    <n v="76"/>
    <x v="9"/>
    <s v="2024-08-19"/>
  </r>
  <r>
    <d v="2024-08-12T00:00:00"/>
    <x v="1"/>
    <n v="1528"/>
    <n v="203"/>
    <n v="489188"/>
    <n v="6.23"/>
    <n v="47101"/>
    <n v="1325"/>
    <x v="9"/>
    <s v="2024-08-12"/>
  </r>
  <r>
    <d v="2024-08-05T00:00:00"/>
    <x v="1"/>
    <n v="645"/>
    <n v="293"/>
    <n v="437968"/>
    <n v="7.83"/>
    <n v="49303"/>
    <n v="352"/>
    <x v="9"/>
    <s v="2024-08-05"/>
  </r>
  <r>
    <d v="2024-07-29T00:00:00"/>
    <x v="1"/>
    <n v="653"/>
    <n v="112"/>
    <n v="23664"/>
    <n v="4.05"/>
    <n v="15353"/>
    <n v="541"/>
    <x v="10"/>
    <s v="2024-07-29"/>
  </r>
  <r>
    <d v="2024-07-22T00:00:00"/>
    <x v="1"/>
    <n v="508"/>
    <n v="349"/>
    <n v="473812"/>
    <n v="7.88"/>
    <n v="17328"/>
    <n v="159"/>
    <x v="10"/>
    <s v="2024-07-22"/>
  </r>
  <r>
    <d v="2024-07-15T00:00:00"/>
    <x v="1"/>
    <n v="1960"/>
    <n v="115"/>
    <n v="154169"/>
    <n v="3.74"/>
    <n v="10740"/>
    <n v="1845"/>
    <x v="10"/>
    <s v="2024-07-15"/>
  </r>
  <r>
    <d v="2024-07-08T00:00:00"/>
    <x v="1"/>
    <n v="1757"/>
    <n v="85"/>
    <n v="58223"/>
    <n v="8.74"/>
    <n v="22728"/>
    <n v="1672"/>
    <x v="10"/>
    <s v="2024-07-08"/>
  </r>
  <r>
    <d v="2024-07-01T00:00:00"/>
    <x v="1"/>
    <n v="226"/>
    <n v="445"/>
    <n v="419447"/>
    <n v="9.36"/>
    <n v="9566"/>
    <n v="-219"/>
    <x v="10"/>
    <s v="2024-07-01"/>
  </r>
  <r>
    <d v="2024-06-24T00:00:00"/>
    <x v="1"/>
    <n v="911"/>
    <n v="282"/>
    <n v="35664"/>
    <n v="6.92"/>
    <n v="18050"/>
    <n v="629"/>
    <x v="11"/>
    <s v="2024-06-24"/>
  </r>
  <r>
    <d v="2024-06-17T00:00:00"/>
    <x v="1"/>
    <n v="1048"/>
    <n v="155"/>
    <n v="456946"/>
    <n v="2.46"/>
    <n v="11329"/>
    <n v="893"/>
    <x v="11"/>
    <s v="2024-06-17"/>
  </r>
  <r>
    <d v="2024-06-10T00:00:00"/>
    <x v="1"/>
    <n v="656"/>
    <n v="139"/>
    <n v="49157"/>
    <n v="9.0500000000000007"/>
    <n v="9920"/>
    <n v="517"/>
    <x v="11"/>
    <s v="2024-06-10"/>
  </r>
  <r>
    <d v="2024-06-03T00:00:00"/>
    <x v="1"/>
    <n v="1135"/>
    <n v="88"/>
    <n v="344084"/>
    <n v="8.06"/>
    <n v="5904"/>
    <n v="1047"/>
    <x v="11"/>
    <s v="2024-06-03"/>
  </r>
  <r>
    <d v="2025-05-12T00:00:00"/>
    <x v="2"/>
    <n v="337"/>
    <n v="68"/>
    <n v="456298"/>
    <n v="7.57"/>
    <n v="4007"/>
    <n v="269"/>
    <x v="0"/>
    <s v="2025-05-12"/>
  </r>
  <r>
    <d v="2025-05-05T00:00:00"/>
    <x v="2"/>
    <n v="1581"/>
    <n v="71"/>
    <n v="484364"/>
    <n v="3.55"/>
    <n v="16149"/>
    <n v="1510"/>
    <x v="0"/>
    <s v="2025-05-05"/>
  </r>
  <r>
    <d v="2025-04-28T00:00:00"/>
    <x v="2"/>
    <n v="1222"/>
    <n v="274"/>
    <n v="487289"/>
    <n v="3.16"/>
    <n v="32500"/>
    <n v="948"/>
    <x v="1"/>
    <s v="2025-04-28"/>
  </r>
  <r>
    <d v="2025-04-21T00:00:00"/>
    <x v="2"/>
    <n v="1147"/>
    <n v="388"/>
    <n v="333851"/>
    <n v="2.44"/>
    <n v="8471"/>
    <n v="759"/>
    <x v="1"/>
    <s v="2025-04-21"/>
  </r>
  <r>
    <d v="2025-04-14T00:00:00"/>
    <x v="2"/>
    <n v="353"/>
    <n v="300"/>
    <n v="142507"/>
    <n v="5.3"/>
    <n v="11035"/>
    <n v="53"/>
    <x v="1"/>
    <s v="2025-04-14"/>
  </r>
  <r>
    <d v="2025-04-07T00:00:00"/>
    <x v="2"/>
    <n v="1432"/>
    <n v="425"/>
    <n v="29589"/>
    <n v="4.5"/>
    <n v="42964"/>
    <n v="1007"/>
    <x v="1"/>
    <s v="2025-04-07"/>
  </r>
  <r>
    <d v="2025-03-31T00:00:00"/>
    <x v="2"/>
    <n v="1946"/>
    <n v="270"/>
    <n v="198350"/>
    <n v="7.5"/>
    <n v="11805"/>
    <n v="1676"/>
    <x v="2"/>
    <s v="2025-03-31"/>
  </r>
  <r>
    <d v="2025-03-24T00:00:00"/>
    <x v="2"/>
    <n v="364"/>
    <n v="72"/>
    <n v="211090"/>
    <n v="5.53"/>
    <n v="21061"/>
    <n v="292"/>
    <x v="2"/>
    <s v="2025-03-24"/>
  </r>
  <r>
    <d v="2025-03-17T00:00:00"/>
    <x v="2"/>
    <n v="1077"/>
    <n v="216"/>
    <n v="12447"/>
    <n v="1.8"/>
    <n v="14068"/>
    <n v="861"/>
    <x v="2"/>
    <s v="2025-03-17"/>
  </r>
  <r>
    <d v="2025-03-10T00:00:00"/>
    <x v="2"/>
    <n v="1399"/>
    <n v="49"/>
    <n v="12471"/>
    <n v="5.12"/>
    <n v="14722"/>
    <n v="1350"/>
    <x v="2"/>
    <s v="2025-03-10"/>
  </r>
  <r>
    <d v="2025-03-03T00:00:00"/>
    <x v="2"/>
    <n v="946"/>
    <n v="47"/>
    <n v="466575"/>
    <n v="8.33"/>
    <n v="10002"/>
    <n v="899"/>
    <x v="2"/>
    <s v="2025-03-03"/>
  </r>
  <r>
    <d v="2025-02-24T00:00:00"/>
    <x v="2"/>
    <n v="861"/>
    <n v="153"/>
    <n v="317007"/>
    <n v="3.85"/>
    <n v="8718"/>
    <n v="708"/>
    <x v="3"/>
    <s v="2025-02-24"/>
  </r>
  <r>
    <d v="2025-02-17T00:00:00"/>
    <x v="2"/>
    <n v="362"/>
    <n v="399"/>
    <n v="145608"/>
    <n v="7.3"/>
    <n v="37636"/>
    <n v="-37"/>
    <x v="3"/>
    <s v="2025-02-17"/>
  </r>
  <r>
    <d v="2025-02-10T00:00:00"/>
    <x v="2"/>
    <n v="1587"/>
    <n v="385"/>
    <n v="126582"/>
    <n v="6.99"/>
    <n v="42832"/>
    <n v="1202"/>
    <x v="3"/>
    <s v="2025-02-10"/>
  </r>
  <r>
    <d v="2025-02-03T00:00:00"/>
    <x v="2"/>
    <n v="927"/>
    <n v="358"/>
    <n v="177554"/>
    <n v="6.95"/>
    <n v="48270"/>
    <n v="569"/>
    <x v="3"/>
    <s v="2025-02-03"/>
  </r>
  <r>
    <d v="2025-01-27T00:00:00"/>
    <x v="2"/>
    <n v="1501"/>
    <n v="75"/>
    <n v="262569"/>
    <n v="2.0099999999999998"/>
    <n v="19119"/>
    <n v="1426"/>
    <x v="4"/>
    <s v="2025-01-27"/>
  </r>
  <r>
    <d v="2025-01-20T00:00:00"/>
    <x v="2"/>
    <n v="1040"/>
    <n v="149"/>
    <n v="124404"/>
    <n v="5.23"/>
    <n v="45380"/>
    <n v="891"/>
    <x v="4"/>
    <s v="2025-01-20"/>
  </r>
  <r>
    <d v="2025-01-13T00:00:00"/>
    <x v="2"/>
    <n v="118"/>
    <n v="262"/>
    <n v="487896"/>
    <n v="2.56"/>
    <n v="12350"/>
    <n v="-144"/>
    <x v="4"/>
    <s v="2025-01-13"/>
  </r>
  <r>
    <d v="2025-01-06T00:00:00"/>
    <x v="2"/>
    <n v="1633"/>
    <n v="445"/>
    <n v="371156"/>
    <n v="2.2200000000000002"/>
    <n v="2798"/>
    <n v="1188"/>
    <x v="4"/>
    <s v="2025-01-06"/>
  </r>
  <r>
    <d v="2024-12-30T00:00:00"/>
    <x v="2"/>
    <n v="1786"/>
    <n v="257"/>
    <n v="274831"/>
    <n v="4.68"/>
    <n v="9118"/>
    <n v="1529"/>
    <x v="5"/>
    <s v="2024-12-30"/>
  </r>
  <r>
    <d v="2024-12-23T00:00:00"/>
    <x v="2"/>
    <n v="1137"/>
    <n v="226"/>
    <n v="81119"/>
    <n v="7.74"/>
    <n v="35359"/>
    <n v="911"/>
    <x v="5"/>
    <s v="2024-12-23"/>
  </r>
  <r>
    <d v="2024-12-16T00:00:00"/>
    <x v="2"/>
    <n v="1592"/>
    <n v="233"/>
    <n v="327183"/>
    <n v="6.66"/>
    <n v="13316"/>
    <n v="1359"/>
    <x v="5"/>
    <s v="2024-12-16"/>
  </r>
  <r>
    <d v="2024-12-09T00:00:00"/>
    <x v="2"/>
    <n v="1937"/>
    <n v="210"/>
    <n v="20607"/>
    <n v="4.2"/>
    <n v="20861"/>
    <n v="1727"/>
    <x v="5"/>
    <s v="2024-12-09"/>
  </r>
  <r>
    <d v="2024-12-02T00:00:00"/>
    <x v="2"/>
    <n v="1441"/>
    <n v="268"/>
    <n v="309904"/>
    <n v="6.37"/>
    <n v="3455"/>
    <n v="1173"/>
    <x v="5"/>
    <s v="2024-12-02"/>
  </r>
  <r>
    <d v="2024-11-25T00:00:00"/>
    <x v="2"/>
    <n v="330"/>
    <n v="232"/>
    <n v="88455"/>
    <n v="2.69"/>
    <n v="39530"/>
    <n v="98"/>
    <x v="6"/>
    <s v="2024-11-25"/>
  </r>
  <r>
    <d v="2024-11-18T00:00:00"/>
    <x v="2"/>
    <n v="628"/>
    <n v="183"/>
    <n v="487523"/>
    <n v="7.32"/>
    <n v="5391"/>
    <n v="445"/>
    <x v="6"/>
    <s v="2024-11-18"/>
  </r>
  <r>
    <d v="2024-11-11T00:00:00"/>
    <x v="2"/>
    <n v="1487"/>
    <n v="337"/>
    <n v="87305"/>
    <n v="2.46"/>
    <n v="30428"/>
    <n v="1150"/>
    <x v="6"/>
    <s v="2024-11-11"/>
  </r>
  <r>
    <d v="2024-11-04T00:00:00"/>
    <x v="2"/>
    <n v="1821"/>
    <n v="218"/>
    <n v="439080"/>
    <n v="5.68"/>
    <n v="36095"/>
    <n v="1603"/>
    <x v="6"/>
    <s v="2024-11-04"/>
  </r>
  <r>
    <d v="2024-10-28T00:00:00"/>
    <x v="2"/>
    <n v="191"/>
    <n v="154"/>
    <n v="240550"/>
    <n v="5.22"/>
    <n v="15827"/>
    <n v="37"/>
    <x v="7"/>
    <s v="2024-10-28"/>
  </r>
  <r>
    <d v="2024-10-21T00:00:00"/>
    <x v="2"/>
    <n v="697"/>
    <n v="61"/>
    <n v="258287"/>
    <n v="8.25"/>
    <n v="21208"/>
    <n v="636"/>
    <x v="7"/>
    <s v="2024-10-21"/>
  </r>
  <r>
    <d v="2024-10-14T00:00:00"/>
    <x v="2"/>
    <n v="201"/>
    <n v="221"/>
    <n v="309772"/>
    <n v="5.9"/>
    <n v="33174"/>
    <n v="-20"/>
    <x v="7"/>
    <s v="2024-10-14"/>
  </r>
  <r>
    <d v="2024-10-07T00:00:00"/>
    <x v="2"/>
    <n v="437"/>
    <n v="330"/>
    <n v="476486"/>
    <n v="4.97"/>
    <n v="4509"/>
    <n v="107"/>
    <x v="7"/>
    <s v="2024-10-07"/>
  </r>
  <r>
    <d v="2024-09-30T00:00:00"/>
    <x v="2"/>
    <n v="752"/>
    <n v="153"/>
    <n v="64906"/>
    <n v="2.09"/>
    <n v="12148"/>
    <n v="599"/>
    <x v="8"/>
    <s v="2024-09-30"/>
  </r>
  <r>
    <d v="2024-09-23T00:00:00"/>
    <x v="2"/>
    <n v="1911"/>
    <n v="231"/>
    <n v="268516"/>
    <n v="8.5500000000000007"/>
    <n v="24018"/>
    <n v="1680"/>
    <x v="8"/>
    <s v="2024-09-23"/>
  </r>
  <r>
    <d v="2024-09-16T00:00:00"/>
    <x v="2"/>
    <n v="1472"/>
    <n v="347"/>
    <n v="392355"/>
    <n v="8.59"/>
    <n v="30270"/>
    <n v="1125"/>
    <x v="8"/>
    <s v="2024-09-16"/>
  </r>
  <r>
    <d v="2024-09-09T00:00:00"/>
    <x v="2"/>
    <n v="751"/>
    <n v="491"/>
    <n v="434047"/>
    <n v="9.24"/>
    <n v="15476"/>
    <n v="260"/>
    <x v="8"/>
    <s v="2024-09-09"/>
  </r>
  <r>
    <d v="2024-09-02T00:00:00"/>
    <x v="2"/>
    <n v="557"/>
    <n v="360"/>
    <n v="318779"/>
    <n v="8.02"/>
    <n v="25797"/>
    <n v="197"/>
    <x v="8"/>
    <s v="2024-09-02"/>
  </r>
  <r>
    <d v="2024-08-26T00:00:00"/>
    <x v="2"/>
    <n v="1300"/>
    <n v="71"/>
    <n v="186454"/>
    <n v="3.91"/>
    <n v="9942"/>
    <n v="1229"/>
    <x v="9"/>
    <s v="2024-08-26"/>
  </r>
  <r>
    <d v="2024-08-19T00:00:00"/>
    <x v="2"/>
    <n v="1751"/>
    <n v="86"/>
    <n v="188655"/>
    <n v="7.24"/>
    <n v="22206"/>
    <n v="1665"/>
    <x v="9"/>
    <s v="2024-08-19"/>
  </r>
  <r>
    <d v="2024-08-12T00:00:00"/>
    <x v="2"/>
    <n v="485"/>
    <n v="448"/>
    <n v="434883"/>
    <n v="8.5500000000000007"/>
    <n v="33258"/>
    <n v="37"/>
    <x v="9"/>
    <s v="2024-08-12"/>
  </r>
  <r>
    <d v="2024-08-05T00:00:00"/>
    <x v="2"/>
    <n v="826"/>
    <n v="498"/>
    <n v="449994"/>
    <n v="9.43"/>
    <n v="12384"/>
    <n v="328"/>
    <x v="9"/>
    <s v="2024-08-05"/>
  </r>
  <r>
    <d v="2024-07-29T00:00:00"/>
    <x v="2"/>
    <n v="1756"/>
    <n v="261"/>
    <n v="287574"/>
    <n v="4.3600000000000003"/>
    <n v="39272"/>
    <n v="1495"/>
    <x v="10"/>
    <s v="2024-07-29"/>
  </r>
  <r>
    <d v="2024-07-22T00:00:00"/>
    <x v="2"/>
    <n v="1701"/>
    <n v="385"/>
    <n v="198278"/>
    <n v="5.34"/>
    <n v="32763"/>
    <n v="1316"/>
    <x v="10"/>
    <s v="2024-07-22"/>
  </r>
  <r>
    <d v="2024-07-15T00:00:00"/>
    <x v="2"/>
    <n v="704"/>
    <n v="275"/>
    <n v="226002"/>
    <n v="8.56"/>
    <n v="32393"/>
    <n v="429"/>
    <x v="10"/>
    <s v="2024-07-15"/>
  </r>
  <r>
    <d v="2024-07-08T00:00:00"/>
    <x v="2"/>
    <n v="987"/>
    <n v="440"/>
    <n v="389810"/>
    <n v="4.66"/>
    <n v="2932"/>
    <n v="547"/>
    <x v="10"/>
    <s v="2024-07-08"/>
  </r>
  <r>
    <d v="2024-07-01T00:00:00"/>
    <x v="2"/>
    <n v="1420"/>
    <n v="63"/>
    <n v="315305"/>
    <n v="6.19"/>
    <n v="5914"/>
    <n v="1357"/>
    <x v="10"/>
    <s v="2024-07-01"/>
  </r>
  <r>
    <d v="2024-06-24T00:00:00"/>
    <x v="2"/>
    <n v="1238"/>
    <n v="403"/>
    <n v="298421"/>
    <n v="3.5"/>
    <n v="31280"/>
    <n v="835"/>
    <x v="11"/>
    <s v="2024-06-24"/>
  </r>
  <r>
    <d v="2024-06-17T00:00:00"/>
    <x v="2"/>
    <n v="1335"/>
    <n v="40"/>
    <n v="122732"/>
    <n v="8.19"/>
    <n v="22482"/>
    <n v="1295"/>
    <x v="11"/>
    <s v="2024-06-17"/>
  </r>
  <r>
    <d v="2024-06-10T00:00:00"/>
    <x v="2"/>
    <n v="436"/>
    <n v="250"/>
    <n v="254347"/>
    <n v="4.01"/>
    <n v="8912"/>
    <n v="186"/>
    <x v="11"/>
    <s v="2024-06-10"/>
  </r>
  <r>
    <d v="2024-06-03T00:00:00"/>
    <x v="2"/>
    <n v="584"/>
    <n v="169"/>
    <n v="146834"/>
    <n v="8.31"/>
    <n v="26752"/>
    <n v="415"/>
    <x v="11"/>
    <s v="2024-06-03"/>
  </r>
  <r>
    <d v="2025-05-12T00:00:00"/>
    <x v="3"/>
    <n v="119"/>
    <n v="456"/>
    <n v="82558"/>
    <n v="6.81"/>
    <n v="12174"/>
    <n v="-337"/>
    <x v="0"/>
    <s v="2025-05-12"/>
  </r>
  <r>
    <d v="2025-05-05T00:00:00"/>
    <x v="3"/>
    <n v="1035"/>
    <n v="171"/>
    <n v="148477"/>
    <n v="5.21"/>
    <n v="7541"/>
    <n v="864"/>
    <x v="0"/>
    <s v="2025-05-05"/>
  </r>
  <r>
    <d v="2025-04-28T00:00:00"/>
    <x v="3"/>
    <n v="777"/>
    <n v="140"/>
    <n v="11435"/>
    <n v="1.6"/>
    <n v="6832"/>
    <n v="637"/>
    <x v="1"/>
    <s v="2025-04-28"/>
  </r>
  <r>
    <d v="2025-04-21T00:00:00"/>
    <x v="3"/>
    <n v="1707"/>
    <n v="74"/>
    <n v="270958"/>
    <n v="3.09"/>
    <n v="14090"/>
    <n v="1633"/>
    <x v="1"/>
    <s v="2025-04-21"/>
  </r>
  <r>
    <d v="2025-04-14T00:00:00"/>
    <x v="3"/>
    <n v="520"/>
    <n v="375"/>
    <n v="369525"/>
    <n v="6.54"/>
    <n v="20733"/>
    <n v="145"/>
    <x v="1"/>
    <s v="2025-04-14"/>
  </r>
  <r>
    <d v="2025-04-07T00:00:00"/>
    <x v="3"/>
    <n v="623"/>
    <n v="414"/>
    <n v="290354"/>
    <n v="6.49"/>
    <n v="39923"/>
    <n v="209"/>
    <x v="1"/>
    <s v="2025-04-07"/>
  </r>
  <r>
    <d v="2025-03-31T00:00:00"/>
    <x v="3"/>
    <n v="1957"/>
    <n v="490"/>
    <n v="435726"/>
    <n v="4.7300000000000004"/>
    <n v="15969"/>
    <n v="1467"/>
    <x v="2"/>
    <s v="2025-03-31"/>
  </r>
  <r>
    <d v="2025-03-24T00:00:00"/>
    <x v="3"/>
    <n v="442"/>
    <n v="53"/>
    <n v="441931"/>
    <n v="1.87"/>
    <n v="20059"/>
    <n v="389"/>
    <x v="2"/>
    <s v="2025-03-24"/>
  </r>
  <r>
    <d v="2025-03-17T00:00:00"/>
    <x v="3"/>
    <n v="1596"/>
    <n v="211"/>
    <n v="17380"/>
    <n v="8.64"/>
    <n v="35801"/>
    <n v="1385"/>
    <x v="2"/>
    <s v="2025-03-17"/>
  </r>
  <r>
    <d v="2025-03-10T00:00:00"/>
    <x v="3"/>
    <n v="1658"/>
    <n v="416"/>
    <n v="98397"/>
    <n v="6.11"/>
    <n v="11383"/>
    <n v="1242"/>
    <x v="2"/>
    <s v="2025-03-10"/>
  </r>
  <r>
    <d v="2025-03-03T00:00:00"/>
    <x v="3"/>
    <n v="510"/>
    <n v="195"/>
    <n v="224534"/>
    <n v="9.4"/>
    <n v="30987"/>
    <n v="315"/>
    <x v="2"/>
    <s v="2025-03-03"/>
  </r>
  <r>
    <d v="2025-02-24T00:00:00"/>
    <x v="3"/>
    <n v="1063"/>
    <n v="47"/>
    <n v="464239"/>
    <n v="6.58"/>
    <n v="39031"/>
    <n v="1016"/>
    <x v="3"/>
    <s v="2025-02-24"/>
  </r>
  <r>
    <d v="2025-02-17T00:00:00"/>
    <x v="3"/>
    <n v="1662"/>
    <n v="487"/>
    <n v="105980"/>
    <n v="9.08"/>
    <n v="22996"/>
    <n v="1175"/>
    <x v="3"/>
    <s v="2025-02-17"/>
  </r>
  <r>
    <d v="2025-02-10T00:00:00"/>
    <x v="3"/>
    <n v="1707"/>
    <n v="263"/>
    <n v="485280"/>
    <n v="9.0299999999999994"/>
    <n v="24494"/>
    <n v="1444"/>
    <x v="3"/>
    <s v="2025-02-10"/>
  </r>
  <r>
    <d v="2025-02-03T00:00:00"/>
    <x v="3"/>
    <n v="152"/>
    <n v="355"/>
    <n v="270766"/>
    <n v="9.48"/>
    <n v="18001"/>
    <n v="-203"/>
    <x v="3"/>
    <s v="2025-02-03"/>
  </r>
  <r>
    <d v="2025-01-27T00:00:00"/>
    <x v="3"/>
    <n v="1411"/>
    <n v="186"/>
    <n v="461669"/>
    <n v="3.72"/>
    <n v="43999"/>
    <n v="1225"/>
    <x v="4"/>
    <s v="2025-01-27"/>
  </r>
  <r>
    <d v="2025-01-20T00:00:00"/>
    <x v="3"/>
    <n v="1166"/>
    <n v="442"/>
    <n v="336949"/>
    <n v="4.68"/>
    <n v="7705"/>
    <n v="724"/>
    <x v="4"/>
    <s v="2025-01-20"/>
  </r>
  <r>
    <d v="2025-01-13T00:00:00"/>
    <x v="3"/>
    <n v="1331"/>
    <n v="430"/>
    <n v="14437"/>
    <n v="3.29"/>
    <n v="40868"/>
    <n v="901"/>
    <x v="4"/>
    <s v="2025-01-13"/>
  </r>
  <r>
    <d v="2025-01-06T00:00:00"/>
    <x v="3"/>
    <n v="891"/>
    <n v="45"/>
    <n v="95410"/>
    <n v="8.33"/>
    <n v="15045"/>
    <n v="846"/>
    <x v="4"/>
    <s v="2025-01-06"/>
  </r>
  <r>
    <d v="2024-12-30T00:00:00"/>
    <x v="3"/>
    <n v="1495"/>
    <n v="35"/>
    <n v="136845"/>
    <n v="4.4800000000000004"/>
    <n v="39931"/>
    <n v="1460"/>
    <x v="5"/>
    <s v="2024-12-30"/>
  </r>
  <r>
    <d v="2024-12-23T00:00:00"/>
    <x v="3"/>
    <n v="1900"/>
    <n v="311"/>
    <n v="25177"/>
    <n v="2.89"/>
    <n v="14154"/>
    <n v="1589"/>
    <x v="5"/>
    <s v="2024-12-23"/>
  </r>
  <r>
    <d v="2024-12-16T00:00:00"/>
    <x v="3"/>
    <n v="1004"/>
    <n v="128"/>
    <n v="488901"/>
    <n v="8.09"/>
    <n v="49558"/>
    <n v="876"/>
    <x v="5"/>
    <s v="2024-12-16"/>
  </r>
  <r>
    <d v="2024-12-09T00:00:00"/>
    <x v="3"/>
    <n v="736"/>
    <n v="163"/>
    <n v="451894"/>
    <n v="5.43"/>
    <n v="46625"/>
    <n v="573"/>
    <x v="5"/>
    <s v="2024-12-09"/>
  </r>
  <r>
    <d v="2024-12-02T00:00:00"/>
    <x v="3"/>
    <n v="452"/>
    <n v="161"/>
    <n v="221274"/>
    <n v="2.65"/>
    <n v="40888"/>
    <n v="291"/>
    <x v="5"/>
    <s v="2024-12-02"/>
  </r>
  <r>
    <d v="2024-11-25T00:00:00"/>
    <x v="3"/>
    <n v="1293"/>
    <n v="408"/>
    <n v="62535"/>
    <n v="8.9"/>
    <n v="37876"/>
    <n v="885"/>
    <x v="6"/>
    <s v="2024-11-25"/>
  </r>
  <r>
    <d v="2024-11-18T00:00:00"/>
    <x v="3"/>
    <n v="278"/>
    <n v="218"/>
    <n v="301695"/>
    <n v="4.68"/>
    <n v="22373"/>
    <n v="60"/>
    <x v="6"/>
    <s v="2024-11-18"/>
  </r>
  <r>
    <d v="2024-11-11T00:00:00"/>
    <x v="3"/>
    <n v="454"/>
    <n v="105"/>
    <n v="121091"/>
    <n v="7.97"/>
    <n v="9269"/>
    <n v="349"/>
    <x v="6"/>
    <s v="2024-11-11"/>
  </r>
  <r>
    <d v="2024-11-04T00:00:00"/>
    <x v="3"/>
    <n v="1507"/>
    <n v="463"/>
    <n v="258944"/>
    <n v="6.08"/>
    <n v="16443"/>
    <n v="1044"/>
    <x v="6"/>
    <s v="2024-11-04"/>
  </r>
  <r>
    <d v="2024-10-28T00:00:00"/>
    <x v="3"/>
    <n v="1814"/>
    <n v="157"/>
    <n v="305827"/>
    <n v="1.99"/>
    <n v="46643"/>
    <n v="1657"/>
    <x v="7"/>
    <s v="2024-10-28"/>
  </r>
  <r>
    <d v="2024-10-21T00:00:00"/>
    <x v="3"/>
    <n v="1707"/>
    <n v="223"/>
    <n v="256910"/>
    <n v="5.41"/>
    <n v="44321"/>
    <n v="1484"/>
    <x v="7"/>
    <s v="2024-10-21"/>
  </r>
  <r>
    <d v="2024-10-14T00:00:00"/>
    <x v="3"/>
    <n v="414"/>
    <n v="47"/>
    <n v="199178"/>
    <n v="1.53"/>
    <n v="6742"/>
    <n v="367"/>
    <x v="7"/>
    <s v="2024-10-14"/>
  </r>
  <r>
    <d v="2024-10-07T00:00:00"/>
    <x v="3"/>
    <n v="307"/>
    <n v="189"/>
    <n v="117767"/>
    <n v="9.3000000000000007"/>
    <n v="27822"/>
    <n v="118"/>
    <x v="7"/>
    <s v="2024-10-07"/>
  </r>
  <r>
    <d v="2024-09-30T00:00:00"/>
    <x v="3"/>
    <n v="1918"/>
    <n v="212"/>
    <n v="94360"/>
    <n v="7.36"/>
    <n v="36851"/>
    <n v="1706"/>
    <x v="8"/>
    <s v="2024-09-30"/>
  </r>
  <r>
    <d v="2024-09-23T00:00:00"/>
    <x v="3"/>
    <n v="1218"/>
    <n v="212"/>
    <n v="63177"/>
    <n v="8.1300000000000008"/>
    <n v="38883"/>
    <n v="1006"/>
    <x v="8"/>
    <s v="2024-09-23"/>
  </r>
  <r>
    <d v="2024-09-16T00:00:00"/>
    <x v="3"/>
    <n v="123"/>
    <n v="155"/>
    <n v="119934"/>
    <n v="3.5"/>
    <n v="5442"/>
    <n v="-32"/>
    <x v="8"/>
    <s v="2024-09-16"/>
  </r>
  <r>
    <d v="2024-09-09T00:00:00"/>
    <x v="3"/>
    <n v="1409"/>
    <n v="309"/>
    <n v="64583"/>
    <n v="8.99"/>
    <n v="10217"/>
    <n v="1100"/>
    <x v="8"/>
    <s v="2024-09-09"/>
  </r>
  <r>
    <d v="2024-09-02T00:00:00"/>
    <x v="3"/>
    <n v="728"/>
    <n v="395"/>
    <n v="370971"/>
    <n v="3.86"/>
    <n v="12646"/>
    <n v="333"/>
    <x v="8"/>
    <s v="2024-09-02"/>
  </r>
  <r>
    <d v="2024-08-26T00:00:00"/>
    <x v="3"/>
    <n v="422"/>
    <n v="394"/>
    <n v="239044"/>
    <n v="7.83"/>
    <n v="32929"/>
    <n v="28"/>
    <x v="9"/>
    <s v="2024-08-26"/>
  </r>
  <r>
    <d v="2024-08-19T00:00:00"/>
    <x v="3"/>
    <n v="221"/>
    <n v="31"/>
    <n v="87443"/>
    <n v="6.19"/>
    <n v="10283"/>
    <n v="190"/>
    <x v="9"/>
    <s v="2024-08-19"/>
  </r>
  <r>
    <d v="2024-08-12T00:00:00"/>
    <x v="3"/>
    <n v="1210"/>
    <n v="178"/>
    <n v="102042"/>
    <n v="5.42"/>
    <n v="6915"/>
    <n v="1032"/>
    <x v="9"/>
    <s v="2024-08-12"/>
  </r>
  <r>
    <d v="2024-08-05T00:00:00"/>
    <x v="3"/>
    <n v="460"/>
    <n v="141"/>
    <n v="320650"/>
    <n v="4.04"/>
    <n v="49372"/>
    <n v="319"/>
    <x v="9"/>
    <s v="2024-08-05"/>
  </r>
  <r>
    <d v="2024-07-29T00:00:00"/>
    <x v="3"/>
    <n v="576"/>
    <n v="101"/>
    <n v="62499"/>
    <n v="3.48"/>
    <n v="16804"/>
    <n v="475"/>
    <x v="10"/>
    <s v="2024-07-29"/>
  </r>
  <r>
    <d v="2024-07-22T00:00:00"/>
    <x v="3"/>
    <n v="804"/>
    <n v="487"/>
    <n v="306564"/>
    <n v="5.52"/>
    <n v="26452"/>
    <n v="317"/>
    <x v="10"/>
    <s v="2024-07-22"/>
  </r>
  <r>
    <d v="2024-07-15T00:00:00"/>
    <x v="3"/>
    <n v="224"/>
    <n v="64"/>
    <n v="156683"/>
    <n v="4.5599999999999996"/>
    <n v="28474"/>
    <n v="160"/>
    <x v="10"/>
    <s v="2024-07-15"/>
  </r>
  <r>
    <d v="2024-07-08T00:00:00"/>
    <x v="3"/>
    <n v="883"/>
    <n v="369"/>
    <n v="233694"/>
    <n v="2.88"/>
    <n v="15071"/>
    <n v="514"/>
    <x v="10"/>
    <s v="2024-07-08"/>
  </r>
  <r>
    <d v="2024-07-01T00:00:00"/>
    <x v="3"/>
    <n v="144"/>
    <n v="53"/>
    <n v="113678"/>
    <n v="8.7200000000000006"/>
    <n v="30060"/>
    <n v="91"/>
    <x v="10"/>
    <s v="2024-07-01"/>
  </r>
  <r>
    <d v="2024-06-24T00:00:00"/>
    <x v="3"/>
    <n v="308"/>
    <n v="431"/>
    <n v="426184"/>
    <n v="2.62"/>
    <n v="1783"/>
    <n v="-123"/>
    <x v="11"/>
    <s v="2024-06-24"/>
  </r>
  <r>
    <d v="2024-06-17T00:00:00"/>
    <x v="3"/>
    <n v="403"/>
    <n v="66"/>
    <n v="382851"/>
    <n v="3.49"/>
    <n v="24313"/>
    <n v="337"/>
    <x v="11"/>
    <s v="2024-06-17"/>
  </r>
  <r>
    <d v="2024-06-10T00:00:00"/>
    <x v="3"/>
    <n v="1197"/>
    <n v="203"/>
    <n v="413878"/>
    <n v="3.16"/>
    <n v="21205"/>
    <n v="994"/>
    <x v="11"/>
    <s v="2024-06-10"/>
  </r>
  <r>
    <d v="2024-06-03T00:00:00"/>
    <x v="3"/>
    <n v="1535"/>
    <n v="445"/>
    <n v="395536"/>
    <n v="4.1100000000000003"/>
    <n v="30671"/>
    <n v="1090"/>
    <x v="11"/>
    <s v="2024-06-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837"/>
    <n v="430"/>
    <n v="364820"/>
    <n v="4"/>
    <n v="49400"/>
    <n v="407"/>
    <s v="2025-05"/>
  </r>
  <r>
    <x v="1"/>
    <x v="0"/>
    <n v="405"/>
    <n v="66"/>
    <n v="418696"/>
    <n v="5.59"/>
    <n v="48419"/>
    <n v="339"/>
    <s v="2025-05"/>
  </r>
  <r>
    <x v="2"/>
    <x v="0"/>
    <n v="833"/>
    <n v="380"/>
    <n v="224830"/>
    <n v="3.86"/>
    <n v="3582"/>
    <n v="453"/>
    <s v="2025-04"/>
  </r>
  <r>
    <x v="3"/>
    <x v="0"/>
    <n v="1375"/>
    <n v="330"/>
    <n v="377382"/>
    <n v="2.6"/>
    <n v="7875"/>
    <n v="1045"/>
    <s v="2025-04"/>
  </r>
  <r>
    <x v="4"/>
    <x v="0"/>
    <n v="198"/>
    <n v="373"/>
    <n v="70707"/>
    <n v="4.83"/>
    <n v="25920"/>
    <n v="-175"/>
    <s v="2025-04"/>
  </r>
  <r>
    <x v="5"/>
    <x v="0"/>
    <n v="1307"/>
    <n v="278"/>
    <n v="98596"/>
    <n v="2.4900000000000002"/>
    <n v="47603"/>
    <n v="1029"/>
    <s v="2025-04"/>
  </r>
  <r>
    <x v="6"/>
    <x v="0"/>
    <n v="988"/>
    <n v="474"/>
    <n v="370070"/>
    <n v="9.4600000000000009"/>
    <n v="23461"/>
    <n v="514"/>
    <s v="2025-03"/>
  </r>
  <r>
    <x v="7"/>
    <x v="0"/>
    <n v="609"/>
    <n v="135"/>
    <n v="373606"/>
    <n v="8.52"/>
    <n v="21453"/>
    <n v="474"/>
    <s v="2025-03"/>
  </r>
  <r>
    <x v="8"/>
    <x v="0"/>
    <n v="1358"/>
    <n v="242"/>
    <n v="342129"/>
    <n v="4.9400000000000004"/>
    <n v="29116"/>
    <n v="1116"/>
    <s v="2025-03"/>
  </r>
  <r>
    <x v="9"/>
    <x v="0"/>
    <n v="1098"/>
    <n v="190"/>
    <n v="340842"/>
    <n v="9.39"/>
    <n v="21539"/>
    <n v="908"/>
    <s v="2025-03"/>
  </r>
  <r>
    <x v="10"/>
    <x v="0"/>
    <n v="345"/>
    <n v="464"/>
    <n v="366881"/>
    <n v="4.55"/>
    <n v="20553"/>
    <n v="-119"/>
    <s v="2025-03"/>
  </r>
  <r>
    <x v="11"/>
    <x v="0"/>
    <n v="1884"/>
    <n v="177"/>
    <n v="230448"/>
    <n v="7.8"/>
    <n v="22713"/>
    <n v="1707"/>
    <s v="2025-02"/>
  </r>
  <r>
    <x v="12"/>
    <x v="0"/>
    <n v="1895"/>
    <n v="305"/>
    <n v="104967"/>
    <n v="3.85"/>
    <n v="31853"/>
    <n v="1590"/>
    <s v="2025-02"/>
  </r>
  <r>
    <x v="13"/>
    <x v="0"/>
    <n v="1294"/>
    <n v="382"/>
    <n v="309914"/>
    <n v="8.0299999999999994"/>
    <n v="23489"/>
    <n v="912"/>
    <s v="2025-02"/>
  </r>
  <r>
    <x v="14"/>
    <x v="0"/>
    <n v="1159"/>
    <n v="411"/>
    <n v="135987"/>
    <n v="8.6999999999999993"/>
    <n v="40323"/>
    <n v="748"/>
    <s v="2025-02"/>
  </r>
  <r>
    <x v="15"/>
    <x v="0"/>
    <n v="1249"/>
    <n v="351"/>
    <n v="321307"/>
    <n v="6.37"/>
    <n v="20560"/>
    <n v="898"/>
    <s v="2025-01"/>
  </r>
  <r>
    <x v="16"/>
    <x v="0"/>
    <n v="663"/>
    <n v="236"/>
    <n v="479490"/>
    <n v="4.51"/>
    <n v="23853"/>
    <n v="427"/>
    <s v="2025-01"/>
  </r>
  <r>
    <x v="17"/>
    <x v="0"/>
    <n v="651"/>
    <n v="353"/>
    <n v="224699"/>
    <n v="5.61"/>
    <n v="45708"/>
    <n v="298"/>
    <s v="2025-01"/>
  </r>
  <r>
    <x v="18"/>
    <x v="0"/>
    <n v="816"/>
    <n v="196"/>
    <n v="95728"/>
    <n v="8.1999999999999993"/>
    <n v="17951"/>
    <n v="620"/>
    <s v="2025-01"/>
  </r>
  <r>
    <x v="19"/>
    <x v="0"/>
    <n v="1980"/>
    <n v="204"/>
    <n v="379431"/>
    <n v="3.09"/>
    <n v="25140"/>
    <n v="1776"/>
    <s v="2024-12"/>
  </r>
  <r>
    <x v="20"/>
    <x v="0"/>
    <n v="1155"/>
    <n v="425"/>
    <n v="93347"/>
    <n v="2.02"/>
    <n v="47502"/>
    <n v="730"/>
    <s v="2024-12"/>
  </r>
  <r>
    <x v="21"/>
    <x v="0"/>
    <n v="1623"/>
    <n v="246"/>
    <n v="415815"/>
    <n v="8.11"/>
    <n v="18656"/>
    <n v="1377"/>
    <s v="2024-12"/>
  </r>
  <r>
    <x v="22"/>
    <x v="0"/>
    <n v="1514"/>
    <n v="141"/>
    <n v="35842"/>
    <n v="7.47"/>
    <n v="18601"/>
    <n v="1373"/>
    <s v="2024-12"/>
  </r>
  <r>
    <x v="23"/>
    <x v="0"/>
    <n v="1902"/>
    <n v="196"/>
    <n v="470269"/>
    <n v="4.79"/>
    <n v="26103"/>
    <n v="1706"/>
    <s v="2024-12"/>
  </r>
  <r>
    <x v="24"/>
    <x v="0"/>
    <n v="1710"/>
    <n v="378"/>
    <n v="336661"/>
    <n v="6.2"/>
    <n v="28498"/>
    <n v="1332"/>
    <s v="2024-11"/>
  </r>
  <r>
    <x v="25"/>
    <x v="0"/>
    <n v="513"/>
    <n v="441"/>
    <n v="338847"/>
    <n v="2.68"/>
    <n v="39997"/>
    <n v="72"/>
    <s v="2024-11"/>
  </r>
  <r>
    <x v="26"/>
    <x v="0"/>
    <n v="171"/>
    <n v="277"/>
    <n v="309483"/>
    <n v="8.6999999999999993"/>
    <n v="38452"/>
    <n v="-106"/>
    <s v="2024-11"/>
  </r>
  <r>
    <x v="27"/>
    <x v="0"/>
    <n v="947"/>
    <n v="407"/>
    <n v="319186"/>
    <n v="3.32"/>
    <n v="4996"/>
    <n v="540"/>
    <s v="2024-11"/>
  </r>
  <r>
    <x v="28"/>
    <x v="0"/>
    <n v="859"/>
    <n v="473"/>
    <n v="209987"/>
    <n v="4.46"/>
    <n v="30214"/>
    <n v="386"/>
    <s v="2024-10"/>
  </r>
  <r>
    <x v="29"/>
    <x v="0"/>
    <n v="508"/>
    <n v="69"/>
    <n v="23492"/>
    <n v="3.16"/>
    <n v="42824"/>
    <n v="439"/>
    <s v="2024-10"/>
  </r>
  <r>
    <x v="30"/>
    <x v="0"/>
    <n v="643"/>
    <n v="358"/>
    <n v="157599"/>
    <n v="3.88"/>
    <n v="7285"/>
    <n v="285"/>
    <s v="2024-10"/>
  </r>
  <r>
    <x v="31"/>
    <x v="0"/>
    <n v="1929"/>
    <n v="267"/>
    <n v="379363"/>
    <n v="1.75"/>
    <n v="43836"/>
    <n v="1662"/>
    <s v="2024-10"/>
  </r>
  <r>
    <x v="32"/>
    <x v="0"/>
    <n v="250"/>
    <n v="429"/>
    <n v="453423"/>
    <n v="1.77"/>
    <n v="2315"/>
    <n v="-179"/>
    <s v="2024-09"/>
  </r>
  <r>
    <x v="33"/>
    <x v="0"/>
    <n v="198"/>
    <n v="217"/>
    <n v="239753"/>
    <n v="7.36"/>
    <n v="11901"/>
    <n v="-19"/>
    <s v="2024-09"/>
  </r>
  <r>
    <x v="34"/>
    <x v="0"/>
    <n v="443"/>
    <n v="345"/>
    <n v="474162"/>
    <n v="9.1999999999999993"/>
    <n v="47462"/>
    <n v="98"/>
    <s v="2024-09"/>
  </r>
  <r>
    <x v="35"/>
    <x v="0"/>
    <n v="1842"/>
    <n v="414"/>
    <n v="307524"/>
    <n v="1.76"/>
    <n v="40478"/>
    <n v="1428"/>
    <s v="2024-09"/>
  </r>
  <r>
    <x v="36"/>
    <x v="0"/>
    <n v="1520"/>
    <n v="475"/>
    <n v="496982"/>
    <n v="6.41"/>
    <n v="24384"/>
    <n v="1045"/>
    <s v="2024-09"/>
  </r>
  <r>
    <x v="37"/>
    <x v="0"/>
    <n v="248"/>
    <n v="211"/>
    <n v="379380"/>
    <n v="9.0399999999999991"/>
    <n v="26925"/>
    <n v="37"/>
    <s v="2024-08"/>
  </r>
  <r>
    <x v="38"/>
    <x v="0"/>
    <n v="1078"/>
    <n v="20"/>
    <n v="183924"/>
    <n v="8.84"/>
    <n v="14203"/>
    <n v="1058"/>
    <s v="2024-08"/>
  </r>
  <r>
    <x v="39"/>
    <x v="0"/>
    <n v="1534"/>
    <n v="200"/>
    <n v="307612"/>
    <n v="6.01"/>
    <n v="37903"/>
    <n v="1334"/>
    <s v="2024-08"/>
  </r>
  <r>
    <x v="40"/>
    <x v="0"/>
    <n v="214"/>
    <n v="411"/>
    <n v="125034"/>
    <n v="6.11"/>
    <n v="26455"/>
    <n v="-197"/>
    <s v="2024-08"/>
  </r>
  <r>
    <x v="41"/>
    <x v="0"/>
    <n v="160"/>
    <n v="478"/>
    <n v="435034"/>
    <n v="7.73"/>
    <n v="4839"/>
    <n v="-318"/>
    <s v="2024-07"/>
  </r>
  <r>
    <x v="42"/>
    <x v="0"/>
    <n v="1391"/>
    <n v="430"/>
    <n v="295032"/>
    <n v="7.86"/>
    <n v="26067"/>
    <n v="961"/>
    <s v="2024-07"/>
  </r>
  <r>
    <x v="43"/>
    <x v="0"/>
    <n v="170"/>
    <n v="334"/>
    <n v="334626"/>
    <n v="6.44"/>
    <n v="43420"/>
    <n v="-164"/>
    <s v="2024-07"/>
  </r>
  <r>
    <x v="44"/>
    <x v="0"/>
    <n v="350"/>
    <n v="41"/>
    <n v="251694"/>
    <n v="1.91"/>
    <n v="38610"/>
    <n v="309"/>
    <s v="2024-07"/>
  </r>
  <r>
    <x v="45"/>
    <x v="0"/>
    <n v="505"/>
    <n v="441"/>
    <n v="220020"/>
    <n v="4.4800000000000004"/>
    <n v="42307"/>
    <n v="64"/>
    <s v="2024-07"/>
  </r>
  <r>
    <x v="46"/>
    <x v="0"/>
    <n v="1779"/>
    <n v="109"/>
    <n v="26295"/>
    <n v="9.1199999999999992"/>
    <n v="30635"/>
    <n v="1670"/>
    <s v="2024-06"/>
  </r>
  <r>
    <x v="47"/>
    <x v="0"/>
    <n v="1753"/>
    <n v="371"/>
    <n v="169496"/>
    <n v="8.11"/>
    <n v="46670"/>
    <n v="1382"/>
    <s v="2024-06"/>
  </r>
  <r>
    <x v="48"/>
    <x v="0"/>
    <n v="1697"/>
    <n v="414"/>
    <n v="316555"/>
    <n v="2.37"/>
    <n v="7924"/>
    <n v="1283"/>
    <s v="2024-06"/>
  </r>
  <r>
    <x v="49"/>
    <x v="0"/>
    <n v="1312"/>
    <n v="310"/>
    <n v="42654"/>
    <n v="4.9800000000000004"/>
    <n v="9566"/>
    <n v="1002"/>
    <s v="2024-06"/>
  </r>
  <r>
    <x v="0"/>
    <x v="1"/>
    <n v="1765"/>
    <n v="109"/>
    <n v="468301"/>
    <n v="1.82"/>
    <n v="20042"/>
    <n v="1656"/>
    <s v="2025-05"/>
  </r>
  <r>
    <x v="1"/>
    <x v="1"/>
    <n v="1957"/>
    <n v="76"/>
    <n v="447902"/>
    <n v="6.09"/>
    <n v="33381"/>
    <n v="1881"/>
    <s v="2025-05"/>
  </r>
  <r>
    <x v="2"/>
    <x v="1"/>
    <n v="1693"/>
    <n v="154"/>
    <n v="445944"/>
    <n v="5.69"/>
    <n v="14216"/>
    <n v="1539"/>
    <s v="2025-04"/>
  </r>
  <r>
    <x v="3"/>
    <x v="1"/>
    <n v="961"/>
    <n v="358"/>
    <n v="62942"/>
    <n v="6.8"/>
    <n v="18693"/>
    <n v="603"/>
    <s v="2025-04"/>
  </r>
  <r>
    <x v="4"/>
    <x v="1"/>
    <n v="198"/>
    <n v="358"/>
    <n v="66682"/>
    <n v="6.73"/>
    <n v="2293"/>
    <n v="-160"/>
    <s v="2025-04"/>
  </r>
  <r>
    <x v="5"/>
    <x v="1"/>
    <n v="559"/>
    <n v="392"/>
    <n v="78789"/>
    <n v="3.19"/>
    <n v="2436"/>
    <n v="167"/>
    <s v="2025-04"/>
  </r>
  <r>
    <x v="6"/>
    <x v="1"/>
    <n v="1033"/>
    <n v="392"/>
    <n v="282780"/>
    <n v="6.27"/>
    <n v="23140"/>
    <n v="641"/>
    <s v="2025-03"/>
  </r>
  <r>
    <x v="7"/>
    <x v="1"/>
    <n v="490"/>
    <n v="29"/>
    <n v="364810"/>
    <n v="1.53"/>
    <n v="49077"/>
    <n v="461"/>
    <s v="2025-03"/>
  </r>
  <r>
    <x v="8"/>
    <x v="1"/>
    <n v="1102"/>
    <n v="422"/>
    <n v="410330"/>
    <n v="7.74"/>
    <n v="9480"/>
    <n v="680"/>
    <s v="2025-03"/>
  </r>
  <r>
    <x v="9"/>
    <x v="1"/>
    <n v="393"/>
    <n v="181"/>
    <n v="462142"/>
    <n v="7.23"/>
    <n v="6296"/>
    <n v="212"/>
    <s v="2025-03"/>
  </r>
  <r>
    <x v="10"/>
    <x v="1"/>
    <n v="1371"/>
    <n v="56"/>
    <n v="257579"/>
    <n v="8.6199999999999992"/>
    <n v="33799"/>
    <n v="1315"/>
    <s v="2025-03"/>
  </r>
  <r>
    <x v="11"/>
    <x v="1"/>
    <n v="1440"/>
    <n v="65"/>
    <n v="126524"/>
    <n v="4.34"/>
    <n v="49772"/>
    <n v="1375"/>
    <s v="2025-02"/>
  </r>
  <r>
    <x v="12"/>
    <x v="1"/>
    <n v="1138"/>
    <n v="173"/>
    <n v="453243"/>
    <n v="2.86"/>
    <n v="44097"/>
    <n v="965"/>
    <s v="2025-02"/>
  </r>
  <r>
    <x v="13"/>
    <x v="1"/>
    <n v="1957"/>
    <n v="234"/>
    <n v="222126"/>
    <n v="4.6100000000000003"/>
    <n v="3314"/>
    <n v="1723"/>
    <s v="2025-02"/>
  </r>
  <r>
    <x v="14"/>
    <x v="1"/>
    <n v="1556"/>
    <n v="476"/>
    <n v="351556"/>
    <n v="3.89"/>
    <n v="10825"/>
    <n v="1080"/>
    <s v="2025-02"/>
  </r>
  <r>
    <x v="15"/>
    <x v="1"/>
    <n v="115"/>
    <n v="281"/>
    <n v="357265"/>
    <n v="9.23"/>
    <n v="25525"/>
    <n v="-166"/>
    <s v="2025-01"/>
  </r>
  <r>
    <x v="16"/>
    <x v="1"/>
    <n v="1748"/>
    <n v="176"/>
    <n v="383681"/>
    <n v="9.24"/>
    <n v="43122"/>
    <n v="1572"/>
    <s v="2025-01"/>
  </r>
  <r>
    <x v="17"/>
    <x v="1"/>
    <n v="1855"/>
    <n v="133"/>
    <n v="349413"/>
    <n v="3.3"/>
    <n v="14548"/>
    <n v="1722"/>
    <s v="2025-01"/>
  </r>
  <r>
    <x v="18"/>
    <x v="1"/>
    <n v="1013"/>
    <n v="110"/>
    <n v="466382"/>
    <n v="5.3"/>
    <n v="37132"/>
    <n v="903"/>
    <s v="2025-01"/>
  </r>
  <r>
    <x v="19"/>
    <x v="1"/>
    <n v="1814"/>
    <n v="49"/>
    <n v="140804"/>
    <n v="1.76"/>
    <n v="4313"/>
    <n v="1765"/>
    <s v="2024-12"/>
  </r>
  <r>
    <x v="20"/>
    <x v="1"/>
    <n v="1092"/>
    <n v="408"/>
    <n v="280795"/>
    <n v="8.44"/>
    <n v="4683"/>
    <n v="684"/>
    <s v="2024-12"/>
  </r>
  <r>
    <x v="21"/>
    <x v="1"/>
    <n v="1502"/>
    <n v="70"/>
    <n v="465553"/>
    <n v="3.32"/>
    <n v="20692"/>
    <n v="1432"/>
    <s v="2024-12"/>
  </r>
  <r>
    <x v="22"/>
    <x v="1"/>
    <n v="1494"/>
    <n v="375"/>
    <n v="220616"/>
    <n v="1.81"/>
    <n v="22724"/>
    <n v="1119"/>
    <s v="2024-12"/>
  </r>
  <r>
    <x v="23"/>
    <x v="1"/>
    <n v="1696"/>
    <n v="71"/>
    <n v="421957"/>
    <n v="3.79"/>
    <n v="36103"/>
    <n v="1625"/>
    <s v="2024-12"/>
  </r>
  <r>
    <x v="24"/>
    <x v="1"/>
    <n v="1854"/>
    <n v="161"/>
    <n v="282466"/>
    <n v="5.17"/>
    <n v="1810"/>
    <n v="1693"/>
    <s v="2024-11"/>
  </r>
  <r>
    <x v="25"/>
    <x v="1"/>
    <n v="187"/>
    <n v="236"/>
    <n v="51087"/>
    <n v="9.41"/>
    <n v="29533"/>
    <n v="-49"/>
    <s v="2024-11"/>
  </r>
  <r>
    <x v="26"/>
    <x v="1"/>
    <n v="1075"/>
    <n v="173"/>
    <n v="51395"/>
    <n v="4.66"/>
    <n v="47812"/>
    <n v="902"/>
    <s v="2024-11"/>
  </r>
  <r>
    <x v="27"/>
    <x v="1"/>
    <n v="1466"/>
    <n v="69"/>
    <n v="54935"/>
    <n v="6.85"/>
    <n v="36484"/>
    <n v="1397"/>
    <s v="2024-11"/>
  </r>
  <r>
    <x v="28"/>
    <x v="1"/>
    <n v="642"/>
    <n v="66"/>
    <n v="346522"/>
    <n v="5.85"/>
    <n v="13116"/>
    <n v="576"/>
    <s v="2024-10"/>
  </r>
  <r>
    <x v="29"/>
    <x v="1"/>
    <n v="703"/>
    <n v="441"/>
    <n v="357089"/>
    <n v="6.5"/>
    <n v="32478"/>
    <n v="262"/>
    <s v="2024-10"/>
  </r>
  <r>
    <x v="30"/>
    <x v="1"/>
    <n v="1527"/>
    <n v="303"/>
    <n v="388555"/>
    <n v="8.9"/>
    <n v="36397"/>
    <n v="1224"/>
    <s v="2024-10"/>
  </r>
  <r>
    <x v="31"/>
    <x v="1"/>
    <n v="1939"/>
    <n v="67"/>
    <n v="187183"/>
    <n v="6.25"/>
    <n v="41215"/>
    <n v="1872"/>
    <s v="2024-10"/>
  </r>
  <r>
    <x v="32"/>
    <x v="1"/>
    <n v="1433"/>
    <n v="408"/>
    <n v="370269"/>
    <n v="3.3"/>
    <n v="30575"/>
    <n v="1025"/>
    <s v="2024-09"/>
  </r>
  <r>
    <x v="33"/>
    <x v="1"/>
    <n v="817"/>
    <n v="151"/>
    <n v="422625"/>
    <n v="2.36"/>
    <n v="1083"/>
    <n v="666"/>
    <s v="2024-09"/>
  </r>
  <r>
    <x v="34"/>
    <x v="1"/>
    <n v="778"/>
    <n v="401"/>
    <n v="50793"/>
    <n v="3.4"/>
    <n v="21939"/>
    <n v="377"/>
    <s v="2024-09"/>
  </r>
  <r>
    <x v="35"/>
    <x v="1"/>
    <n v="1592"/>
    <n v="20"/>
    <n v="378054"/>
    <n v="9.09"/>
    <n v="26663"/>
    <n v="1572"/>
    <s v="2024-09"/>
  </r>
  <r>
    <x v="36"/>
    <x v="1"/>
    <n v="1429"/>
    <n v="182"/>
    <n v="101332"/>
    <n v="7.16"/>
    <n v="37829"/>
    <n v="1247"/>
    <s v="2024-09"/>
  </r>
  <r>
    <x v="37"/>
    <x v="1"/>
    <n v="1685"/>
    <n v="76"/>
    <n v="453799"/>
    <n v="5.71"/>
    <n v="24913"/>
    <n v="1609"/>
    <s v="2024-08"/>
  </r>
  <r>
    <x v="38"/>
    <x v="1"/>
    <n v="215"/>
    <n v="139"/>
    <n v="325444"/>
    <n v="3.25"/>
    <n v="35501"/>
    <n v="76"/>
    <s v="2024-08"/>
  </r>
  <r>
    <x v="39"/>
    <x v="1"/>
    <n v="1528"/>
    <n v="203"/>
    <n v="489188"/>
    <n v="6.23"/>
    <n v="47101"/>
    <n v="1325"/>
    <s v="2024-08"/>
  </r>
  <r>
    <x v="40"/>
    <x v="1"/>
    <n v="645"/>
    <n v="293"/>
    <n v="437968"/>
    <n v="7.83"/>
    <n v="49303"/>
    <n v="352"/>
    <s v="2024-08"/>
  </r>
  <r>
    <x v="41"/>
    <x v="1"/>
    <n v="653"/>
    <n v="112"/>
    <n v="23664"/>
    <n v="4.05"/>
    <n v="15353"/>
    <n v="541"/>
    <s v="2024-07"/>
  </r>
  <r>
    <x v="42"/>
    <x v="1"/>
    <n v="508"/>
    <n v="349"/>
    <n v="473812"/>
    <n v="7.88"/>
    <n v="17328"/>
    <n v="159"/>
    <s v="2024-07"/>
  </r>
  <r>
    <x v="43"/>
    <x v="1"/>
    <n v="1960"/>
    <n v="115"/>
    <n v="154169"/>
    <n v="3.74"/>
    <n v="10740"/>
    <n v="1845"/>
    <s v="2024-07"/>
  </r>
  <r>
    <x v="44"/>
    <x v="1"/>
    <n v="1757"/>
    <n v="85"/>
    <n v="58223"/>
    <n v="8.74"/>
    <n v="22728"/>
    <n v="1672"/>
    <s v="2024-07"/>
  </r>
  <r>
    <x v="45"/>
    <x v="1"/>
    <n v="226"/>
    <n v="445"/>
    <n v="419447"/>
    <n v="9.36"/>
    <n v="9566"/>
    <n v="-219"/>
    <s v="2024-07"/>
  </r>
  <r>
    <x v="46"/>
    <x v="1"/>
    <n v="911"/>
    <n v="282"/>
    <n v="35664"/>
    <n v="6.92"/>
    <n v="18050"/>
    <n v="629"/>
    <s v="2024-06"/>
  </r>
  <r>
    <x v="47"/>
    <x v="1"/>
    <n v="1048"/>
    <n v="155"/>
    <n v="456946"/>
    <n v="2.46"/>
    <n v="11329"/>
    <n v="893"/>
    <s v="2024-06"/>
  </r>
  <r>
    <x v="48"/>
    <x v="1"/>
    <n v="656"/>
    <n v="139"/>
    <n v="49157"/>
    <n v="9.0500000000000007"/>
    <n v="9920"/>
    <n v="517"/>
    <s v="2024-06"/>
  </r>
  <r>
    <x v="49"/>
    <x v="1"/>
    <n v="1135"/>
    <n v="88"/>
    <n v="344084"/>
    <n v="8.06"/>
    <n v="5904"/>
    <n v="1047"/>
    <s v="2024-06"/>
  </r>
  <r>
    <x v="0"/>
    <x v="2"/>
    <n v="337"/>
    <n v="68"/>
    <n v="456298"/>
    <n v="7.57"/>
    <n v="4007"/>
    <n v="269"/>
    <s v="2025-05"/>
  </r>
  <r>
    <x v="1"/>
    <x v="2"/>
    <n v="1581"/>
    <n v="71"/>
    <n v="484364"/>
    <n v="3.55"/>
    <n v="16149"/>
    <n v="1510"/>
    <s v="2025-05"/>
  </r>
  <r>
    <x v="2"/>
    <x v="2"/>
    <n v="1222"/>
    <n v="274"/>
    <n v="487289"/>
    <n v="3.16"/>
    <n v="32500"/>
    <n v="948"/>
    <s v="2025-04"/>
  </r>
  <r>
    <x v="3"/>
    <x v="2"/>
    <n v="1147"/>
    <n v="388"/>
    <n v="333851"/>
    <n v="2.44"/>
    <n v="8471"/>
    <n v="759"/>
    <s v="2025-04"/>
  </r>
  <r>
    <x v="4"/>
    <x v="2"/>
    <n v="353"/>
    <n v="300"/>
    <n v="142507"/>
    <n v="5.3"/>
    <n v="11035"/>
    <n v="53"/>
    <s v="2025-04"/>
  </r>
  <r>
    <x v="5"/>
    <x v="2"/>
    <n v="1432"/>
    <n v="425"/>
    <n v="29589"/>
    <n v="4.5"/>
    <n v="42964"/>
    <n v="1007"/>
    <s v="2025-04"/>
  </r>
  <r>
    <x v="6"/>
    <x v="2"/>
    <n v="1946"/>
    <n v="270"/>
    <n v="198350"/>
    <n v="7.5"/>
    <n v="11805"/>
    <n v="1676"/>
    <s v="2025-03"/>
  </r>
  <r>
    <x v="7"/>
    <x v="2"/>
    <n v="364"/>
    <n v="72"/>
    <n v="211090"/>
    <n v="5.53"/>
    <n v="21061"/>
    <n v="292"/>
    <s v="2025-03"/>
  </r>
  <r>
    <x v="8"/>
    <x v="2"/>
    <n v="1077"/>
    <n v="216"/>
    <n v="12447"/>
    <n v="1.8"/>
    <n v="14068"/>
    <n v="861"/>
    <s v="2025-03"/>
  </r>
  <r>
    <x v="9"/>
    <x v="2"/>
    <n v="1399"/>
    <n v="49"/>
    <n v="12471"/>
    <n v="5.12"/>
    <n v="14722"/>
    <n v="1350"/>
    <s v="2025-03"/>
  </r>
  <r>
    <x v="10"/>
    <x v="2"/>
    <n v="946"/>
    <n v="47"/>
    <n v="466575"/>
    <n v="8.33"/>
    <n v="10002"/>
    <n v="899"/>
    <s v="2025-03"/>
  </r>
  <r>
    <x v="11"/>
    <x v="2"/>
    <n v="861"/>
    <n v="153"/>
    <n v="317007"/>
    <n v="3.85"/>
    <n v="8718"/>
    <n v="708"/>
    <s v="2025-02"/>
  </r>
  <r>
    <x v="12"/>
    <x v="2"/>
    <n v="362"/>
    <n v="399"/>
    <n v="145608"/>
    <n v="7.3"/>
    <n v="37636"/>
    <n v="-37"/>
    <s v="2025-02"/>
  </r>
  <r>
    <x v="13"/>
    <x v="2"/>
    <n v="1587"/>
    <n v="385"/>
    <n v="126582"/>
    <n v="6.99"/>
    <n v="42832"/>
    <n v="1202"/>
    <s v="2025-02"/>
  </r>
  <r>
    <x v="14"/>
    <x v="2"/>
    <n v="927"/>
    <n v="358"/>
    <n v="177554"/>
    <n v="6.95"/>
    <n v="48270"/>
    <n v="569"/>
    <s v="2025-02"/>
  </r>
  <r>
    <x v="15"/>
    <x v="2"/>
    <n v="1501"/>
    <n v="75"/>
    <n v="262569"/>
    <n v="2.0099999999999998"/>
    <n v="19119"/>
    <n v="1426"/>
    <s v="2025-01"/>
  </r>
  <r>
    <x v="16"/>
    <x v="2"/>
    <n v="1040"/>
    <n v="149"/>
    <n v="124404"/>
    <n v="5.23"/>
    <n v="45380"/>
    <n v="891"/>
    <s v="2025-01"/>
  </r>
  <r>
    <x v="17"/>
    <x v="2"/>
    <n v="118"/>
    <n v="262"/>
    <n v="487896"/>
    <n v="2.56"/>
    <n v="12350"/>
    <n v="-144"/>
    <s v="2025-01"/>
  </r>
  <r>
    <x v="18"/>
    <x v="2"/>
    <n v="1633"/>
    <n v="445"/>
    <n v="371156"/>
    <n v="2.2200000000000002"/>
    <n v="2798"/>
    <n v="1188"/>
    <s v="2025-01"/>
  </r>
  <r>
    <x v="19"/>
    <x v="2"/>
    <n v="1786"/>
    <n v="257"/>
    <n v="274831"/>
    <n v="4.68"/>
    <n v="9118"/>
    <n v="1529"/>
    <s v="2024-12"/>
  </r>
  <r>
    <x v="20"/>
    <x v="2"/>
    <n v="1137"/>
    <n v="226"/>
    <n v="81119"/>
    <n v="7.74"/>
    <n v="35359"/>
    <n v="911"/>
    <s v="2024-12"/>
  </r>
  <r>
    <x v="21"/>
    <x v="2"/>
    <n v="1592"/>
    <n v="233"/>
    <n v="327183"/>
    <n v="6.66"/>
    <n v="13316"/>
    <n v="1359"/>
    <s v="2024-12"/>
  </r>
  <r>
    <x v="22"/>
    <x v="2"/>
    <n v="1937"/>
    <n v="210"/>
    <n v="20607"/>
    <n v="4.2"/>
    <n v="20861"/>
    <n v="1727"/>
    <s v="2024-12"/>
  </r>
  <r>
    <x v="23"/>
    <x v="2"/>
    <n v="1441"/>
    <n v="268"/>
    <n v="309904"/>
    <n v="6.37"/>
    <n v="3455"/>
    <n v="1173"/>
    <s v="2024-12"/>
  </r>
  <r>
    <x v="24"/>
    <x v="2"/>
    <n v="330"/>
    <n v="232"/>
    <n v="88455"/>
    <n v="2.69"/>
    <n v="39530"/>
    <n v="98"/>
    <s v="2024-11"/>
  </r>
  <r>
    <x v="25"/>
    <x v="2"/>
    <n v="628"/>
    <n v="183"/>
    <n v="487523"/>
    <n v="7.32"/>
    <n v="5391"/>
    <n v="445"/>
    <s v="2024-11"/>
  </r>
  <r>
    <x v="26"/>
    <x v="2"/>
    <n v="1487"/>
    <n v="337"/>
    <n v="87305"/>
    <n v="2.46"/>
    <n v="30428"/>
    <n v="1150"/>
    <s v="2024-11"/>
  </r>
  <r>
    <x v="27"/>
    <x v="2"/>
    <n v="1821"/>
    <n v="218"/>
    <n v="439080"/>
    <n v="5.68"/>
    <n v="36095"/>
    <n v="1603"/>
    <s v="2024-11"/>
  </r>
  <r>
    <x v="28"/>
    <x v="2"/>
    <n v="191"/>
    <n v="154"/>
    <n v="240550"/>
    <n v="5.22"/>
    <n v="15827"/>
    <n v="37"/>
    <s v="2024-10"/>
  </r>
  <r>
    <x v="29"/>
    <x v="2"/>
    <n v="697"/>
    <n v="61"/>
    <n v="258287"/>
    <n v="8.25"/>
    <n v="21208"/>
    <n v="636"/>
    <s v="2024-10"/>
  </r>
  <r>
    <x v="30"/>
    <x v="2"/>
    <n v="201"/>
    <n v="221"/>
    <n v="309772"/>
    <n v="5.9"/>
    <n v="33174"/>
    <n v="-20"/>
    <s v="2024-10"/>
  </r>
  <r>
    <x v="31"/>
    <x v="2"/>
    <n v="437"/>
    <n v="330"/>
    <n v="476486"/>
    <n v="4.97"/>
    <n v="4509"/>
    <n v="107"/>
    <s v="2024-10"/>
  </r>
  <r>
    <x v="32"/>
    <x v="2"/>
    <n v="752"/>
    <n v="153"/>
    <n v="64906"/>
    <n v="2.09"/>
    <n v="12148"/>
    <n v="599"/>
    <s v="2024-09"/>
  </r>
  <r>
    <x v="33"/>
    <x v="2"/>
    <n v="1911"/>
    <n v="231"/>
    <n v="268516"/>
    <n v="8.5500000000000007"/>
    <n v="24018"/>
    <n v="1680"/>
    <s v="2024-09"/>
  </r>
  <r>
    <x v="34"/>
    <x v="2"/>
    <n v="1472"/>
    <n v="347"/>
    <n v="392355"/>
    <n v="8.59"/>
    <n v="30270"/>
    <n v="1125"/>
    <s v="2024-09"/>
  </r>
  <r>
    <x v="35"/>
    <x v="2"/>
    <n v="751"/>
    <n v="491"/>
    <n v="434047"/>
    <n v="9.24"/>
    <n v="15476"/>
    <n v="260"/>
    <s v="2024-09"/>
  </r>
  <r>
    <x v="36"/>
    <x v="2"/>
    <n v="557"/>
    <n v="360"/>
    <n v="318779"/>
    <n v="8.02"/>
    <n v="25797"/>
    <n v="197"/>
    <s v="2024-09"/>
  </r>
  <r>
    <x v="37"/>
    <x v="2"/>
    <n v="1300"/>
    <n v="71"/>
    <n v="186454"/>
    <n v="3.91"/>
    <n v="9942"/>
    <n v="1229"/>
    <s v="2024-08"/>
  </r>
  <r>
    <x v="38"/>
    <x v="2"/>
    <n v="1751"/>
    <n v="86"/>
    <n v="188655"/>
    <n v="7.24"/>
    <n v="22206"/>
    <n v="1665"/>
    <s v="2024-08"/>
  </r>
  <r>
    <x v="39"/>
    <x v="2"/>
    <n v="485"/>
    <n v="448"/>
    <n v="434883"/>
    <n v="8.5500000000000007"/>
    <n v="33258"/>
    <n v="37"/>
    <s v="2024-08"/>
  </r>
  <r>
    <x v="40"/>
    <x v="2"/>
    <n v="826"/>
    <n v="498"/>
    <n v="449994"/>
    <n v="9.43"/>
    <n v="12384"/>
    <n v="328"/>
    <s v="2024-08"/>
  </r>
  <r>
    <x v="41"/>
    <x v="2"/>
    <n v="1756"/>
    <n v="261"/>
    <n v="287574"/>
    <n v="4.3600000000000003"/>
    <n v="39272"/>
    <n v="1495"/>
    <s v="2024-07"/>
  </r>
  <r>
    <x v="42"/>
    <x v="2"/>
    <n v="1701"/>
    <n v="385"/>
    <n v="198278"/>
    <n v="5.34"/>
    <n v="32763"/>
    <n v="1316"/>
    <s v="2024-07"/>
  </r>
  <r>
    <x v="43"/>
    <x v="2"/>
    <n v="704"/>
    <n v="275"/>
    <n v="226002"/>
    <n v="8.56"/>
    <n v="32393"/>
    <n v="429"/>
    <s v="2024-07"/>
  </r>
  <r>
    <x v="44"/>
    <x v="2"/>
    <n v="987"/>
    <n v="440"/>
    <n v="389810"/>
    <n v="4.66"/>
    <n v="2932"/>
    <n v="547"/>
    <s v="2024-07"/>
  </r>
  <r>
    <x v="45"/>
    <x v="2"/>
    <n v="1420"/>
    <n v="63"/>
    <n v="315305"/>
    <n v="6.19"/>
    <n v="5914"/>
    <n v="1357"/>
    <s v="2024-07"/>
  </r>
  <r>
    <x v="46"/>
    <x v="2"/>
    <n v="1238"/>
    <n v="403"/>
    <n v="298421"/>
    <n v="3.5"/>
    <n v="31280"/>
    <n v="835"/>
    <s v="2024-06"/>
  </r>
  <r>
    <x v="47"/>
    <x v="2"/>
    <n v="1335"/>
    <n v="40"/>
    <n v="122732"/>
    <n v="8.19"/>
    <n v="22482"/>
    <n v="1295"/>
    <s v="2024-06"/>
  </r>
  <r>
    <x v="48"/>
    <x v="2"/>
    <n v="436"/>
    <n v="250"/>
    <n v="254347"/>
    <n v="4.01"/>
    <n v="8912"/>
    <n v="186"/>
    <s v="2024-06"/>
  </r>
  <r>
    <x v="49"/>
    <x v="2"/>
    <n v="584"/>
    <n v="169"/>
    <n v="146834"/>
    <n v="8.31"/>
    <n v="26752"/>
    <n v="415"/>
    <s v="2024-06"/>
  </r>
  <r>
    <x v="0"/>
    <x v="3"/>
    <n v="119"/>
    <n v="456"/>
    <n v="82558"/>
    <n v="6.81"/>
    <n v="12174"/>
    <n v="-337"/>
    <s v="2025-05"/>
  </r>
  <r>
    <x v="1"/>
    <x v="3"/>
    <n v="1035"/>
    <n v="171"/>
    <n v="148477"/>
    <n v="5.21"/>
    <n v="7541"/>
    <n v="864"/>
    <s v="2025-05"/>
  </r>
  <r>
    <x v="2"/>
    <x v="3"/>
    <n v="777"/>
    <n v="140"/>
    <n v="11435"/>
    <n v="1.6"/>
    <n v="6832"/>
    <n v="637"/>
    <s v="2025-04"/>
  </r>
  <r>
    <x v="3"/>
    <x v="3"/>
    <n v="1707"/>
    <n v="74"/>
    <n v="270958"/>
    <n v="3.09"/>
    <n v="14090"/>
    <n v="1633"/>
    <s v="2025-04"/>
  </r>
  <r>
    <x v="4"/>
    <x v="3"/>
    <n v="520"/>
    <n v="375"/>
    <n v="369525"/>
    <n v="6.54"/>
    <n v="20733"/>
    <n v="145"/>
    <s v="2025-04"/>
  </r>
  <r>
    <x v="5"/>
    <x v="3"/>
    <n v="623"/>
    <n v="414"/>
    <n v="290354"/>
    <n v="6.49"/>
    <n v="39923"/>
    <n v="209"/>
    <s v="2025-04"/>
  </r>
  <r>
    <x v="6"/>
    <x v="3"/>
    <n v="1957"/>
    <n v="490"/>
    <n v="435726"/>
    <n v="4.7300000000000004"/>
    <n v="15969"/>
    <n v="1467"/>
    <s v="2025-03"/>
  </r>
  <r>
    <x v="7"/>
    <x v="3"/>
    <n v="442"/>
    <n v="53"/>
    <n v="441931"/>
    <n v="1.87"/>
    <n v="20059"/>
    <n v="389"/>
    <s v="2025-03"/>
  </r>
  <r>
    <x v="8"/>
    <x v="3"/>
    <n v="1596"/>
    <n v="211"/>
    <n v="17380"/>
    <n v="8.64"/>
    <n v="35801"/>
    <n v="1385"/>
    <s v="2025-03"/>
  </r>
  <r>
    <x v="9"/>
    <x v="3"/>
    <n v="1658"/>
    <n v="416"/>
    <n v="98397"/>
    <n v="6.11"/>
    <n v="11383"/>
    <n v="1242"/>
    <s v="2025-03"/>
  </r>
  <r>
    <x v="10"/>
    <x v="3"/>
    <n v="510"/>
    <n v="195"/>
    <n v="224534"/>
    <n v="9.4"/>
    <n v="30987"/>
    <n v="315"/>
    <s v="2025-03"/>
  </r>
  <r>
    <x v="11"/>
    <x v="3"/>
    <n v="1063"/>
    <n v="47"/>
    <n v="464239"/>
    <n v="6.58"/>
    <n v="39031"/>
    <n v="1016"/>
    <s v="2025-02"/>
  </r>
  <r>
    <x v="12"/>
    <x v="3"/>
    <n v="1662"/>
    <n v="487"/>
    <n v="105980"/>
    <n v="9.08"/>
    <n v="22996"/>
    <n v="1175"/>
    <s v="2025-02"/>
  </r>
  <r>
    <x v="13"/>
    <x v="3"/>
    <n v="1707"/>
    <n v="263"/>
    <n v="485280"/>
    <n v="9.0299999999999994"/>
    <n v="24494"/>
    <n v="1444"/>
    <s v="2025-02"/>
  </r>
  <r>
    <x v="14"/>
    <x v="3"/>
    <n v="152"/>
    <n v="355"/>
    <n v="270766"/>
    <n v="9.48"/>
    <n v="18001"/>
    <n v="-203"/>
    <s v="2025-02"/>
  </r>
  <r>
    <x v="15"/>
    <x v="3"/>
    <n v="1411"/>
    <n v="186"/>
    <n v="461669"/>
    <n v="3.72"/>
    <n v="43999"/>
    <n v="1225"/>
    <s v="2025-01"/>
  </r>
  <r>
    <x v="16"/>
    <x v="3"/>
    <n v="1166"/>
    <n v="442"/>
    <n v="336949"/>
    <n v="4.68"/>
    <n v="7705"/>
    <n v="724"/>
    <s v="2025-01"/>
  </r>
  <r>
    <x v="17"/>
    <x v="3"/>
    <n v="1331"/>
    <n v="430"/>
    <n v="14437"/>
    <n v="3.29"/>
    <n v="40868"/>
    <n v="901"/>
    <s v="2025-01"/>
  </r>
  <r>
    <x v="18"/>
    <x v="3"/>
    <n v="891"/>
    <n v="45"/>
    <n v="95410"/>
    <n v="8.33"/>
    <n v="15045"/>
    <n v="846"/>
    <s v="2025-01"/>
  </r>
  <r>
    <x v="19"/>
    <x v="3"/>
    <n v="1495"/>
    <n v="35"/>
    <n v="136845"/>
    <n v="4.4800000000000004"/>
    <n v="39931"/>
    <n v="1460"/>
    <s v="2024-12"/>
  </r>
  <r>
    <x v="20"/>
    <x v="3"/>
    <n v="1900"/>
    <n v="311"/>
    <n v="25177"/>
    <n v="2.89"/>
    <n v="14154"/>
    <n v="1589"/>
    <s v="2024-12"/>
  </r>
  <r>
    <x v="21"/>
    <x v="3"/>
    <n v="1004"/>
    <n v="128"/>
    <n v="488901"/>
    <n v="8.09"/>
    <n v="49558"/>
    <n v="876"/>
    <s v="2024-12"/>
  </r>
  <r>
    <x v="22"/>
    <x v="3"/>
    <n v="736"/>
    <n v="163"/>
    <n v="451894"/>
    <n v="5.43"/>
    <n v="46625"/>
    <n v="573"/>
    <s v="2024-12"/>
  </r>
  <r>
    <x v="23"/>
    <x v="3"/>
    <n v="452"/>
    <n v="161"/>
    <n v="221274"/>
    <n v="2.65"/>
    <n v="40888"/>
    <n v="291"/>
    <s v="2024-12"/>
  </r>
  <r>
    <x v="24"/>
    <x v="3"/>
    <n v="1293"/>
    <n v="408"/>
    <n v="62535"/>
    <n v="8.9"/>
    <n v="37876"/>
    <n v="885"/>
    <s v="2024-11"/>
  </r>
  <r>
    <x v="25"/>
    <x v="3"/>
    <n v="278"/>
    <n v="218"/>
    <n v="301695"/>
    <n v="4.68"/>
    <n v="22373"/>
    <n v="60"/>
    <s v="2024-11"/>
  </r>
  <r>
    <x v="26"/>
    <x v="3"/>
    <n v="454"/>
    <n v="105"/>
    <n v="121091"/>
    <n v="7.97"/>
    <n v="9269"/>
    <n v="349"/>
    <s v="2024-11"/>
  </r>
  <r>
    <x v="27"/>
    <x v="3"/>
    <n v="1507"/>
    <n v="463"/>
    <n v="258944"/>
    <n v="6.08"/>
    <n v="16443"/>
    <n v="1044"/>
    <s v="2024-11"/>
  </r>
  <r>
    <x v="28"/>
    <x v="3"/>
    <n v="1814"/>
    <n v="157"/>
    <n v="305827"/>
    <n v="1.99"/>
    <n v="46643"/>
    <n v="1657"/>
    <s v="2024-10"/>
  </r>
  <r>
    <x v="29"/>
    <x v="3"/>
    <n v="1707"/>
    <n v="223"/>
    <n v="256910"/>
    <n v="5.41"/>
    <n v="44321"/>
    <n v="1484"/>
    <s v="2024-10"/>
  </r>
  <r>
    <x v="30"/>
    <x v="3"/>
    <n v="414"/>
    <n v="47"/>
    <n v="199178"/>
    <n v="1.53"/>
    <n v="6742"/>
    <n v="367"/>
    <s v="2024-10"/>
  </r>
  <r>
    <x v="31"/>
    <x v="3"/>
    <n v="307"/>
    <n v="189"/>
    <n v="117767"/>
    <n v="9.3000000000000007"/>
    <n v="27822"/>
    <n v="118"/>
    <s v="2024-10"/>
  </r>
  <r>
    <x v="32"/>
    <x v="3"/>
    <n v="1918"/>
    <n v="212"/>
    <n v="94360"/>
    <n v="7.36"/>
    <n v="36851"/>
    <n v="1706"/>
    <s v="2024-09"/>
  </r>
  <r>
    <x v="33"/>
    <x v="3"/>
    <n v="1218"/>
    <n v="212"/>
    <n v="63177"/>
    <n v="8.1300000000000008"/>
    <n v="38883"/>
    <n v="1006"/>
    <s v="2024-09"/>
  </r>
  <r>
    <x v="34"/>
    <x v="3"/>
    <n v="123"/>
    <n v="155"/>
    <n v="119934"/>
    <n v="3.5"/>
    <n v="5442"/>
    <n v="-32"/>
    <s v="2024-09"/>
  </r>
  <r>
    <x v="35"/>
    <x v="3"/>
    <n v="1409"/>
    <n v="309"/>
    <n v="64583"/>
    <n v="8.99"/>
    <n v="10217"/>
    <n v="1100"/>
    <s v="2024-09"/>
  </r>
  <r>
    <x v="36"/>
    <x v="3"/>
    <n v="728"/>
    <n v="395"/>
    <n v="370971"/>
    <n v="3.86"/>
    <n v="12646"/>
    <n v="333"/>
    <s v="2024-09"/>
  </r>
  <r>
    <x v="37"/>
    <x v="3"/>
    <n v="422"/>
    <n v="394"/>
    <n v="239044"/>
    <n v="7.83"/>
    <n v="32929"/>
    <n v="28"/>
    <s v="2024-08"/>
  </r>
  <r>
    <x v="38"/>
    <x v="3"/>
    <n v="221"/>
    <n v="31"/>
    <n v="87443"/>
    <n v="6.19"/>
    <n v="10283"/>
    <n v="190"/>
    <s v="2024-08"/>
  </r>
  <r>
    <x v="39"/>
    <x v="3"/>
    <n v="1210"/>
    <n v="178"/>
    <n v="102042"/>
    <n v="5.42"/>
    <n v="6915"/>
    <n v="1032"/>
    <s v="2024-08"/>
  </r>
  <r>
    <x v="40"/>
    <x v="3"/>
    <n v="460"/>
    <n v="141"/>
    <n v="320650"/>
    <n v="4.04"/>
    <n v="49372"/>
    <n v="319"/>
    <s v="2024-08"/>
  </r>
  <r>
    <x v="41"/>
    <x v="3"/>
    <n v="576"/>
    <n v="101"/>
    <n v="62499"/>
    <n v="3.48"/>
    <n v="16804"/>
    <n v="475"/>
    <s v="2024-07"/>
  </r>
  <r>
    <x v="42"/>
    <x v="3"/>
    <n v="804"/>
    <n v="487"/>
    <n v="306564"/>
    <n v="5.52"/>
    <n v="26452"/>
    <n v="317"/>
    <s v="2024-07"/>
  </r>
  <r>
    <x v="43"/>
    <x v="3"/>
    <n v="224"/>
    <n v="64"/>
    <n v="156683"/>
    <n v="4.5599999999999996"/>
    <n v="28474"/>
    <n v="160"/>
    <s v="2024-07"/>
  </r>
  <r>
    <x v="44"/>
    <x v="3"/>
    <n v="883"/>
    <n v="369"/>
    <n v="233694"/>
    <n v="2.88"/>
    <n v="15071"/>
    <n v="514"/>
    <s v="2024-07"/>
  </r>
  <r>
    <x v="45"/>
    <x v="3"/>
    <n v="144"/>
    <n v="53"/>
    <n v="113678"/>
    <n v="8.7200000000000006"/>
    <n v="30060"/>
    <n v="91"/>
    <s v="2024-07"/>
  </r>
  <r>
    <x v="46"/>
    <x v="3"/>
    <n v="308"/>
    <n v="431"/>
    <n v="426184"/>
    <n v="2.62"/>
    <n v="1783"/>
    <n v="-123"/>
    <s v="2024-06"/>
  </r>
  <r>
    <x v="47"/>
    <x v="3"/>
    <n v="403"/>
    <n v="66"/>
    <n v="382851"/>
    <n v="3.49"/>
    <n v="24313"/>
    <n v="337"/>
    <s v="2024-06"/>
  </r>
  <r>
    <x v="48"/>
    <x v="3"/>
    <n v="1197"/>
    <n v="203"/>
    <n v="413878"/>
    <n v="3.16"/>
    <n v="21205"/>
    <n v="994"/>
    <s v="2024-06"/>
  </r>
  <r>
    <x v="49"/>
    <x v="3"/>
    <n v="1535"/>
    <n v="445"/>
    <n v="395536"/>
    <n v="4.1100000000000003"/>
    <n v="30671"/>
    <n v="1090"/>
    <s v="2024-0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n v="5931"/>
  </r>
  <r>
    <x v="1"/>
    <x v="0"/>
    <n v="5331"/>
  </r>
  <r>
    <x v="2"/>
    <x v="1"/>
    <n v="4399"/>
  </r>
  <r>
    <x v="0"/>
    <x v="2"/>
    <n v="3944"/>
  </r>
  <r>
    <x v="3"/>
    <x v="0"/>
    <n v="3362"/>
  </r>
  <r>
    <x v="1"/>
    <x v="1"/>
    <n v="3312"/>
  </r>
  <r>
    <x v="2"/>
    <x v="0"/>
    <n v="1820"/>
  </r>
  <r>
    <x v="3"/>
    <x v="3"/>
    <n v="156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6">
  <r>
    <x v="0"/>
    <x v="0"/>
    <d v="2024-12-23T00:00:00"/>
    <x v="0"/>
    <x v="0"/>
    <n v="1461"/>
    <n v="184"/>
    <n v="344"/>
    <n v="21915"/>
    <n v="21675"/>
    <n v="15"/>
    <x v="0"/>
    <n v="9.0759753593429193E-2"/>
    <n v="6.8446269678302499E-4"/>
    <n v="1989"/>
    <x v="0"/>
    <x v="0"/>
    <d v="2024-08-01T00:00:00"/>
    <d v="2024-08-31T00:00:00"/>
  </r>
  <r>
    <x v="1"/>
    <x v="0"/>
    <d v="2025-04-03T00:00:00"/>
    <x v="1"/>
    <x v="1"/>
    <n v="4054"/>
    <n v="389"/>
    <n v="493"/>
    <n v="64864"/>
    <n v="64383"/>
    <n v="117"/>
    <x v="1"/>
    <n v="7.6097681302417397E-2"/>
    <n v="1.8037740503206699E-3"/>
    <n v="4936"/>
    <x v="1"/>
    <x v="0"/>
    <d v="2024-06-10T00:00:00"/>
    <d v="2024-07-05T00:00:00"/>
  </r>
  <r>
    <x v="2"/>
    <x v="1"/>
    <d v="2025-05-12T00:00:00"/>
    <x v="0"/>
    <x v="0"/>
    <n v="2795"/>
    <n v="105"/>
    <n v="49"/>
    <n v="53105"/>
    <n v="52307"/>
    <n v="204"/>
    <x v="0"/>
    <n v="5.5531494209584802E-2"/>
    <n v="3.8414461915073899E-3"/>
    <n v="2949"/>
    <x v="1"/>
    <x v="0"/>
    <d v="2024-08-01T00:00:00"/>
    <d v="2024-08-31T00:00:00"/>
  </r>
  <r>
    <x v="2"/>
    <x v="1"/>
    <d v="2025-05-12T00:00:00"/>
    <x v="0"/>
    <x v="0"/>
    <n v="2795"/>
    <n v="105"/>
    <n v="49"/>
    <n v="53105"/>
    <n v="52307"/>
    <n v="204"/>
    <x v="0"/>
    <n v="5.5531494209584802E-2"/>
    <n v="3.8414461915073899E-3"/>
    <n v="2949"/>
    <x v="0"/>
    <x v="0"/>
    <d v="2024-08-01T00:00:00"/>
    <d v="2024-08-31T00:00:00"/>
  </r>
  <r>
    <x v="3"/>
    <x v="2"/>
    <d v="2024-08-12T00:00:00"/>
    <x v="2"/>
    <x v="2"/>
    <n v="2404"/>
    <n v="363"/>
    <n v="138"/>
    <n v="19232"/>
    <n v="18636"/>
    <n v="128"/>
    <x v="0"/>
    <n v="0.151050332778702"/>
    <n v="6.6555740432612297E-3"/>
    <n v="2905"/>
    <x v="0"/>
    <x v="1"/>
    <d v="2024-08-01T00:00:00"/>
    <d v="2024-08-31T00:00:00"/>
  </r>
  <r>
    <x v="4"/>
    <x v="1"/>
    <d v="2024-06-26T00:00:00"/>
    <x v="0"/>
    <x v="0"/>
    <n v="3557"/>
    <n v="687"/>
    <n v="424"/>
    <n v="71140"/>
    <n v="70701"/>
    <n v="224"/>
    <x v="2"/>
    <n v="6.5617093055945999E-2"/>
    <n v="3.1487208321619299E-3"/>
    <n v="4668"/>
    <x v="2"/>
    <x v="0"/>
    <d v="2024-10-05T00:00:00"/>
    <d v="2024-11-05T00:00:00"/>
  </r>
  <r>
    <x v="4"/>
    <x v="1"/>
    <d v="2024-06-26T00:00:00"/>
    <x v="0"/>
    <x v="0"/>
    <n v="3557"/>
    <n v="687"/>
    <n v="424"/>
    <n v="71140"/>
    <n v="70701"/>
    <n v="224"/>
    <x v="2"/>
    <n v="6.5617093055945999E-2"/>
    <n v="3.1487208321619299E-3"/>
    <n v="4668"/>
    <x v="1"/>
    <x v="0"/>
    <d v="2024-10-05T00:00:00"/>
    <d v="2024-11-05T00:00:00"/>
  </r>
  <r>
    <x v="5"/>
    <x v="3"/>
    <d v="2024-10-31T00:00:00"/>
    <x v="3"/>
    <x v="3"/>
    <n v="2945"/>
    <n v="930"/>
    <n v="355"/>
    <n v="23560"/>
    <n v="23275"/>
    <n v="256"/>
    <x v="1"/>
    <n v="0.179541595925297"/>
    <n v="1.0865874363327701E-2"/>
    <n v="4230"/>
    <x v="3"/>
    <x v="0"/>
    <d v="2024-06-10T00:00:00"/>
    <d v="2024-07-05T00:00:00"/>
  </r>
  <r>
    <x v="6"/>
    <x v="0"/>
    <d v="2024-06-24T00:00:00"/>
    <x v="3"/>
    <x v="3"/>
    <n v="3860"/>
    <n v="201"/>
    <n v="279"/>
    <n v="61760"/>
    <n v="61660"/>
    <n v="235"/>
    <x v="2"/>
    <n v="7.0272020725388601E-2"/>
    <n v="3.8050518134715001E-3"/>
    <n v="4340"/>
    <x v="3"/>
    <x v="0"/>
    <d v="2024-10-05T00:00:00"/>
    <d v="2024-11-05T00:00:00"/>
  </r>
  <r>
    <x v="7"/>
    <x v="1"/>
    <d v="2024-07-13T00:00:00"/>
    <x v="4"/>
    <x v="4"/>
    <n v="3929"/>
    <n v="262"/>
    <n v="278"/>
    <n v="43219"/>
    <n v="42841"/>
    <n v="39"/>
    <x v="2"/>
    <n v="0.10340359564080601"/>
    <n v="9.0238089729054399E-4"/>
    <n v="4469"/>
    <x v="1"/>
    <x v="0"/>
    <d v="2024-10-05T00:00:00"/>
    <d v="2024-11-05T00:00:00"/>
  </r>
  <r>
    <x v="7"/>
    <x v="1"/>
    <d v="2024-07-13T00:00:00"/>
    <x v="4"/>
    <x v="4"/>
    <n v="3929"/>
    <n v="262"/>
    <n v="278"/>
    <n v="43219"/>
    <n v="42841"/>
    <n v="39"/>
    <x v="2"/>
    <n v="0.10340359564080601"/>
    <n v="9.0238089729054399E-4"/>
    <n v="4469"/>
    <x v="0"/>
    <x v="0"/>
    <d v="2024-10-05T00:00:00"/>
    <d v="2024-11-05T00:00:00"/>
  </r>
  <r>
    <x v="8"/>
    <x v="3"/>
    <d v="2024-08-30T00:00:00"/>
    <x v="1"/>
    <x v="1"/>
    <n v="3784"/>
    <n v="808"/>
    <n v="404"/>
    <n v="56760"/>
    <n v="56343"/>
    <n v="131"/>
    <x v="2"/>
    <n v="8.8019732205778703E-2"/>
    <n v="2.3079633544749799E-3"/>
    <n v="4996"/>
    <x v="1"/>
    <x v="0"/>
    <d v="2024-10-05T00:00:00"/>
    <d v="2024-11-05T00:00:00"/>
  </r>
  <r>
    <x v="8"/>
    <x v="3"/>
    <d v="2024-08-30T00:00:00"/>
    <x v="1"/>
    <x v="1"/>
    <n v="3784"/>
    <n v="808"/>
    <n v="404"/>
    <n v="56760"/>
    <n v="56343"/>
    <n v="131"/>
    <x v="2"/>
    <n v="8.8019732205778703E-2"/>
    <n v="2.3079633544749799E-3"/>
    <n v="4996"/>
    <x v="0"/>
    <x v="0"/>
    <d v="2024-10-05T00:00:00"/>
    <d v="2024-11-05T00:00:00"/>
  </r>
  <r>
    <x v="9"/>
    <x v="3"/>
    <d v="2025-03-11T00:00:00"/>
    <x v="4"/>
    <x v="4"/>
    <n v="4241"/>
    <n v="902"/>
    <n v="47"/>
    <n v="72097"/>
    <n v="71598"/>
    <n v="167"/>
    <x v="3"/>
    <n v="7.1986351720598599E-2"/>
    <n v="2.3163238414913201E-3"/>
    <n v="5190"/>
    <x v="3"/>
    <x v="0"/>
    <d v="2025-01-10T00:00:00"/>
    <d v="2025-02-10T00:00:00"/>
  </r>
  <r>
    <x v="10"/>
    <x v="2"/>
    <d v="2025-02-02T00:00:00"/>
    <x v="2"/>
    <x v="2"/>
    <n v="1792"/>
    <n v="614"/>
    <n v="497"/>
    <n v="25088"/>
    <n v="24675"/>
    <n v="65"/>
    <x v="0"/>
    <n v="0.115712691326531"/>
    <n v="2.5908801020408201E-3"/>
    <n v="2903"/>
    <x v="2"/>
    <x v="0"/>
    <d v="2024-08-01T00:00:00"/>
    <d v="2024-08-31T00:00:00"/>
  </r>
  <r>
    <x v="11"/>
    <x v="3"/>
    <d v="2024-07-21T00:00:00"/>
    <x v="0"/>
    <x v="0"/>
    <n v="1946"/>
    <n v="686"/>
    <n v="377"/>
    <n v="23352"/>
    <n v="22982"/>
    <n v="213"/>
    <x v="2"/>
    <n v="0.12885405960945501"/>
    <n v="9.1212744090441895E-3"/>
    <n v="3009"/>
    <x v="2"/>
    <x v="0"/>
    <d v="2024-10-05T00:00:00"/>
    <d v="2024-11-05T00:00:00"/>
  </r>
  <r>
    <x v="11"/>
    <x v="3"/>
    <d v="2024-07-21T00:00:00"/>
    <x v="0"/>
    <x v="0"/>
    <n v="1946"/>
    <n v="686"/>
    <n v="377"/>
    <n v="23352"/>
    <n v="22982"/>
    <n v="213"/>
    <x v="2"/>
    <n v="0.12885405960945501"/>
    <n v="9.1212744090441895E-3"/>
    <n v="3009"/>
    <x v="0"/>
    <x v="0"/>
    <d v="2024-10-05T00:00:00"/>
    <d v="2024-11-05T00:00:00"/>
  </r>
  <r>
    <x v="12"/>
    <x v="1"/>
    <d v="2024-11-18T00:00:00"/>
    <x v="3"/>
    <x v="3"/>
    <n v="1171"/>
    <n v="286"/>
    <n v="231"/>
    <n v="22249"/>
    <n v="21282"/>
    <n v="114"/>
    <x v="3"/>
    <n v="7.5868578363072495E-2"/>
    <n v="5.1238257899231402E-3"/>
    <n v="1688"/>
    <x v="1"/>
    <x v="0"/>
    <d v="2025-01-10T00:00:00"/>
    <d v="2025-02-10T00:00:00"/>
  </r>
  <r>
    <x v="13"/>
    <x v="3"/>
    <d v="2025-02-16T00:00:00"/>
    <x v="2"/>
    <x v="2"/>
    <n v="4242"/>
    <n v="555"/>
    <n v="131"/>
    <n v="33936"/>
    <n v="33802"/>
    <n v="265"/>
    <x v="2"/>
    <n v="0.145214521452145"/>
    <n v="7.8088165959453101E-3"/>
    <n v="4928"/>
    <x v="0"/>
    <x v="0"/>
    <d v="2024-10-05T00:00:00"/>
    <d v="2024-11-05T00:00:00"/>
  </r>
  <r>
    <x v="13"/>
    <x v="3"/>
    <d v="2025-02-16T00:00:00"/>
    <x v="2"/>
    <x v="2"/>
    <n v="4242"/>
    <n v="555"/>
    <n v="131"/>
    <n v="33936"/>
    <n v="33802"/>
    <n v="265"/>
    <x v="2"/>
    <n v="0.145214521452145"/>
    <n v="7.8088165959453101E-3"/>
    <n v="4928"/>
    <x v="1"/>
    <x v="0"/>
    <d v="2024-10-05T00:00:00"/>
    <d v="2024-11-05T00:00:00"/>
  </r>
  <r>
    <x v="14"/>
    <x v="3"/>
    <d v="2024-10-24T00:00:00"/>
    <x v="5"/>
    <x v="5"/>
    <n v="3888"/>
    <n v="604"/>
    <n v="128"/>
    <n v="77760"/>
    <n v="77167"/>
    <n v="20"/>
    <x v="0"/>
    <n v="5.9413580246913601E-2"/>
    <n v="2.57201646090535E-4"/>
    <n v="4620"/>
    <x v="1"/>
    <x v="0"/>
    <d v="2024-08-01T00:00:00"/>
    <d v="2024-08-31T00:00:00"/>
  </r>
  <r>
    <x v="14"/>
    <x v="3"/>
    <d v="2024-10-24T00:00:00"/>
    <x v="5"/>
    <x v="5"/>
    <n v="3888"/>
    <n v="604"/>
    <n v="128"/>
    <n v="77760"/>
    <n v="77167"/>
    <n v="20"/>
    <x v="0"/>
    <n v="5.9413580246913601E-2"/>
    <n v="2.57201646090535E-4"/>
    <n v="4620"/>
    <x v="4"/>
    <x v="0"/>
    <d v="2024-08-01T00:00:00"/>
    <d v="2024-08-31T00:00:00"/>
  </r>
  <r>
    <x v="15"/>
    <x v="3"/>
    <d v="2024-08-26T00:00:00"/>
    <x v="1"/>
    <x v="1"/>
    <n v="3452"/>
    <n v="377"/>
    <n v="360"/>
    <n v="55232"/>
    <n v="55075"/>
    <n v="87"/>
    <x v="2"/>
    <n v="7.58437137891078E-2"/>
    <n v="1.57517381228273E-3"/>
    <n v="4189"/>
    <x v="0"/>
    <x v="0"/>
    <d v="2024-10-05T00:00:00"/>
    <d v="2024-11-05T00:00:00"/>
  </r>
  <r>
    <x v="15"/>
    <x v="3"/>
    <d v="2024-08-26T00:00:00"/>
    <x v="1"/>
    <x v="1"/>
    <n v="3452"/>
    <n v="377"/>
    <n v="360"/>
    <n v="55232"/>
    <n v="55075"/>
    <n v="87"/>
    <x v="2"/>
    <n v="7.58437137891078E-2"/>
    <n v="1.57517381228273E-3"/>
    <n v="4189"/>
    <x v="4"/>
    <x v="0"/>
    <d v="2024-10-05T00:00:00"/>
    <d v="2024-11-05T00:00:00"/>
  </r>
  <r>
    <x v="16"/>
    <x v="3"/>
    <d v="2025-05-05T00:00:00"/>
    <x v="1"/>
    <x v="1"/>
    <n v="4441"/>
    <n v="511"/>
    <n v="70"/>
    <n v="53292"/>
    <n v="53082"/>
    <n v="159"/>
    <x v="2"/>
    <n v="9.4235532537716701E-2"/>
    <n v="2.98356226075208E-3"/>
    <n v="5022"/>
    <x v="4"/>
    <x v="0"/>
    <d v="2024-10-05T00:00:00"/>
    <d v="2024-11-05T00:00:00"/>
  </r>
  <r>
    <x v="17"/>
    <x v="2"/>
    <d v="2024-08-19T00:00:00"/>
    <x v="0"/>
    <x v="0"/>
    <n v="3000"/>
    <n v="382"/>
    <n v="325"/>
    <n v="36000"/>
    <n v="35819"/>
    <n v="19"/>
    <x v="1"/>
    <n v="0.10297222222222201"/>
    <n v="5.2777777777777805E-4"/>
    <n v="3707"/>
    <x v="2"/>
    <x v="0"/>
    <d v="2024-06-10T00:00:00"/>
    <d v="2024-07-05T00:00:00"/>
  </r>
  <r>
    <x v="18"/>
    <x v="2"/>
    <d v="2024-06-23T00:00:00"/>
    <x v="5"/>
    <x v="5"/>
    <n v="1071"/>
    <n v="519"/>
    <n v="22"/>
    <n v="16065"/>
    <n v="15865"/>
    <n v="103"/>
    <x v="2"/>
    <n v="0.100342359165889"/>
    <n v="6.4114534702769998E-3"/>
    <n v="1612"/>
    <x v="0"/>
    <x v="0"/>
    <d v="2024-10-05T00:00:00"/>
    <d v="2024-11-05T00:00:00"/>
  </r>
  <r>
    <x v="18"/>
    <x v="2"/>
    <d v="2024-06-23T00:00:00"/>
    <x v="5"/>
    <x v="5"/>
    <n v="1071"/>
    <n v="519"/>
    <n v="22"/>
    <n v="16065"/>
    <n v="15865"/>
    <n v="103"/>
    <x v="2"/>
    <n v="0.100342359165889"/>
    <n v="6.4114534702769998E-3"/>
    <n v="1612"/>
    <x v="2"/>
    <x v="0"/>
    <d v="2024-10-05T00:00:00"/>
    <d v="2024-11-05T00:00:00"/>
  </r>
  <r>
    <x v="19"/>
    <x v="2"/>
    <d v="2024-09-09T00:00:00"/>
    <x v="3"/>
    <x v="3"/>
    <n v="4054"/>
    <n v="488"/>
    <n v="373"/>
    <n v="77026"/>
    <n v="76881"/>
    <n v="25"/>
    <x v="2"/>
    <n v="6.3809622724794193E-2"/>
    <n v="3.2456573105185303E-4"/>
    <n v="4915"/>
    <x v="1"/>
    <x v="0"/>
    <d v="2024-10-05T00:00:00"/>
    <d v="2024-11-05T00:00:00"/>
  </r>
  <r>
    <x v="19"/>
    <x v="2"/>
    <d v="2024-09-09T00:00:00"/>
    <x v="3"/>
    <x v="3"/>
    <n v="4054"/>
    <n v="488"/>
    <n v="373"/>
    <n v="77026"/>
    <n v="76881"/>
    <n v="25"/>
    <x v="2"/>
    <n v="6.3809622724794193E-2"/>
    <n v="3.2456573105185303E-4"/>
    <n v="4915"/>
    <x v="0"/>
    <x v="0"/>
    <d v="2024-10-05T00:00:00"/>
    <d v="2024-11-05T00:00:00"/>
  </r>
  <r>
    <x v="20"/>
    <x v="2"/>
    <d v="2025-01-04T00:00:00"/>
    <x v="0"/>
    <x v="0"/>
    <n v="4838"/>
    <n v="640"/>
    <n v="128"/>
    <n v="72570"/>
    <n v="72396"/>
    <n v="83"/>
    <x v="2"/>
    <n v="7.7249552156538503E-2"/>
    <n v="1.1437233016398001E-3"/>
    <n v="5606"/>
    <x v="2"/>
    <x v="0"/>
    <d v="2024-10-05T00:00:00"/>
    <d v="2024-11-05T00:00:00"/>
  </r>
  <r>
    <x v="20"/>
    <x v="2"/>
    <d v="2025-01-04T00:00:00"/>
    <x v="0"/>
    <x v="0"/>
    <n v="4838"/>
    <n v="640"/>
    <n v="128"/>
    <n v="72570"/>
    <n v="72396"/>
    <n v="83"/>
    <x v="2"/>
    <n v="7.7249552156538503E-2"/>
    <n v="1.1437233016398001E-3"/>
    <n v="5606"/>
    <x v="3"/>
    <x v="0"/>
    <d v="2024-10-05T00:00:00"/>
    <d v="2024-11-05T00:00:00"/>
  </r>
  <r>
    <x v="21"/>
    <x v="3"/>
    <d v="2025-02-27T00:00:00"/>
    <x v="1"/>
    <x v="1"/>
    <n v="1570"/>
    <n v="187"/>
    <n v="260"/>
    <n v="25120"/>
    <n v="24613"/>
    <n v="133"/>
    <x v="3"/>
    <n v="8.0294585987261205E-2"/>
    <n v="5.2945859872611497E-3"/>
    <n v="2017"/>
    <x v="0"/>
    <x v="0"/>
    <d v="2025-01-10T00:00:00"/>
    <d v="2025-02-10T00:00:00"/>
  </r>
  <r>
    <x v="22"/>
    <x v="3"/>
    <d v="2024-11-06T00:00:00"/>
    <x v="5"/>
    <x v="5"/>
    <n v="1606"/>
    <n v="547"/>
    <n v="316"/>
    <n v="32120"/>
    <n v="31736"/>
    <n v="225"/>
    <x v="2"/>
    <n v="7.6867995018679997E-2"/>
    <n v="7.00498132004981E-3"/>
    <n v="2469"/>
    <x v="0"/>
    <x v="0"/>
    <d v="2024-10-05T00:00:00"/>
    <d v="2024-11-05T00:00:00"/>
  </r>
  <r>
    <x v="23"/>
    <x v="3"/>
    <d v="2025-01-23T00:00:00"/>
    <x v="5"/>
    <x v="5"/>
    <n v="3961"/>
    <n v="761"/>
    <n v="131"/>
    <n v="67337"/>
    <n v="66615"/>
    <n v="161"/>
    <x v="1"/>
    <n v="7.2070332803659196E-2"/>
    <n v="2.3909589081782699E-3"/>
    <n v="4853"/>
    <x v="3"/>
    <x v="0"/>
    <d v="2024-06-10T00:00:00"/>
    <d v="2024-07-05T00:00:00"/>
  </r>
  <r>
    <x v="24"/>
    <x v="0"/>
    <d v="2025-04-10T00:00:00"/>
    <x v="3"/>
    <x v="3"/>
    <n v="3128"/>
    <n v="211"/>
    <n v="197"/>
    <n v="59432"/>
    <n v="59182"/>
    <n v="238"/>
    <x v="0"/>
    <n v="5.9496567505720799E-2"/>
    <n v="4.0045766590389E-3"/>
    <n v="3536"/>
    <x v="2"/>
    <x v="0"/>
    <d v="2024-08-01T00:00:00"/>
    <d v="2024-08-31T00:00:00"/>
  </r>
  <r>
    <x v="24"/>
    <x v="0"/>
    <d v="2025-04-10T00:00:00"/>
    <x v="3"/>
    <x v="3"/>
    <n v="3128"/>
    <n v="211"/>
    <n v="197"/>
    <n v="59432"/>
    <n v="59182"/>
    <n v="238"/>
    <x v="0"/>
    <n v="5.9496567505720799E-2"/>
    <n v="4.0045766590389E-3"/>
    <n v="3536"/>
    <x v="0"/>
    <x v="0"/>
    <d v="2024-08-01T00:00:00"/>
    <d v="2024-08-31T00:00:00"/>
  </r>
  <r>
    <x v="25"/>
    <x v="1"/>
    <d v="2025-04-05T00:00:00"/>
    <x v="0"/>
    <x v="0"/>
    <n v="3009"/>
    <n v="413"/>
    <n v="358"/>
    <n v="42126"/>
    <n v="41309"/>
    <n v="211"/>
    <x v="1"/>
    <n v="8.9730807577268201E-2"/>
    <n v="5.0087831742866599E-3"/>
    <n v="3780"/>
    <x v="0"/>
    <x v="0"/>
    <d v="2024-06-10T00:00:00"/>
    <d v="2024-07-05T00:00:00"/>
  </r>
  <r>
    <x v="26"/>
    <x v="1"/>
    <d v="2024-09-17T00:00:00"/>
    <x v="1"/>
    <x v="1"/>
    <n v="2076"/>
    <n v="195"/>
    <n v="104"/>
    <n v="33216"/>
    <n v="32244"/>
    <n v="51"/>
    <x v="3"/>
    <n v="7.1501685934489398E-2"/>
    <n v="1.53540462427746E-3"/>
    <n v="2375"/>
    <x v="3"/>
    <x v="0"/>
    <d v="2025-01-10T00:00:00"/>
    <d v="2025-02-10T00:00:00"/>
  </r>
  <r>
    <x v="27"/>
    <x v="2"/>
    <d v="2025-03-04T00:00:00"/>
    <x v="5"/>
    <x v="5"/>
    <n v="432"/>
    <n v="624"/>
    <n v="123"/>
    <n v="6912"/>
    <n v="6259"/>
    <n v="79"/>
    <x v="1"/>
    <n v="0.17057291666666699"/>
    <n v="1.14293981481481E-2"/>
    <n v="1179"/>
    <x v="0"/>
    <x v="0"/>
    <d v="2024-06-10T00:00:00"/>
    <d v="2024-07-05T00:00:00"/>
  </r>
  <r>
    <x v="27"/>
    <x v="2"/>
    <d v="2025-03-04T00:00:00"/>
    <x v="5"/>
    <x v="5"/>
    <n v="432"/>
    <n v="624"/>
    <n v="123"/>
    <n v="6912"/>
    <n v="6259"/>
    <n v="79"/>
    <x v="1"/>
    <n v="0.17057291666666699"/>
    <n v="1.14293981481481E-2"/>
    <n v="1179"/>
    <x v="3"/>
    <x v="0"/>
    <d v="2024-06-10T00:00:00"/>
    <d v="2024-07-05T00:00:00"/>
  </r>
  <r>
    <x v="28"/>
    <x v="2"/>
    <d v="2025-01-31T00:00:00"/>
    <x v="3"/>
    <x v="3"/>
    <n v="2566"/>
    <n v="118"/>
    <n v="37"/>
    <n v="12830"/>
    <n v="12264"/>
    <n v="221"/>
    <x v="2"/>
    <n v="0.21208106001558799"/>
    <n v="1.7225253312548702E-2"/>
    <n v="2721"/>
    <x v="3"/>
    <x v="0"/>
    <d v="2024-10-05T00:00:00"/>
    <d v="2024-11-05T00:00:00"/>
  </r>
  <r>
    <x v="28"/>
    <x v="2"/>
    <d v="2025-01-31T00:00:00"/>
    <x v="3"/>
    <x v="3"/>
    <n v="2566"/>
    <n v="118"/>
    <n v="37"/>
    <n v="12830"/>
    <n v="12264"/>
    <n v="221"/>
    <x v="2"/>
    <n v="0.21208106001558799"/>
    <n v="1.7225253312548702E-2"/>
    <n v="2721"/>
    <x v="1"/>
    <x v="0"/>
    <d v="2024-10-05T00:00:00"/>
    <d v="2024-11-05T00:00:00"/>
  </r>
  <r>
    <x v="29"/>
    <x v="2"/>
    <d v="2025-02-25T00:00:00"/>
    <x v="5"/>
    <x v="5"/>
    <n v="3095"/>
    <n v="39"/>
    <n v="78"/>
    <n v="55710"/>
    <n v="54808"/>
    <n v="93"/>
    <x v="3"/>
    <n v="5.7655717106444099E-2"/>
    <n v="1.6693591814755E-3"/>
    <n v="3212"/>
    <x v="0"/>
    <x v="0"/>
    <d v="2025-01-10T00:00:00"/>
    <d v="2025-02-10T00:00:00"/>
  </r>
  <r>
    <x v="30"/>
    <x v="2"/>
    <d v="2024-12-16T00:00:00"/>
    <x v="1"/>
    <x v="1"/>
    <n v="438"/>
    <n v="153"/>
    <n v="275"/>
    <n v="3066"/>
    <n v="2701"/>
    <n v="282"/>
    <x v="3"/>
    <n v="0.28245270711024101"/>
    <n v="9.1976516634050903E-2"/>
    <n v="866"/>
    <x v="3"/>
    <x v="0"/>
    <d v="2025-01-10T00:00:00"/>
    <d v="2025-02-10T00:00:00"/>
  </r>
  <r>
    <x v="31"/>
    <x v="0"/>
    <d v="2024-07-31T00:00:00"/>
    <x v="3"/>
    <x v="3"/>
    <n v="2278"/>
    <n v="10"/>
    <n v="321"/>
    <n v="13668"/>
    <n v="12676"/>
    <n v="275"/>
    <x v="3"/>
    <n v="0.190883816213052"/>
    <n v="2.0119988293825001E-2"/>
    <n v="2609"/>
    <x v="3"/>
    <x v="0"/>
    <d v="2025-01-10T00:00:00"/>
    <d v="2025-02-10T00:00:00"/>
  </r>
  <r>
    <x v="31"/>
    <x v="0"/>
    <d v="2024-07-31T00:00:00"/>
    <x v="3"/>
    <x v="3"/>
    <n v="2278"/>
    <n v="10"/>
    <n v="321"/>
    <n v="13668"/>
    <n v="12676"/>
    <n v="275"/>
    <x v="3"/>
    <n v="0.190883816213052"/>
    <n v="2.0119988293825001E-2"/>
    <n v="2609"/>
    <x v="1"/>
    <x v="0"/>
    <d v="2025-01-10T00:00:00"/>
    <d v="2025-02-10T00:00:00"/>
  </r>
  <r>
    <x v="32"/>
    <x v="3"/>
    <d v="2024-08-21T00:00:00"/>
    <x v="4"/>
    <x v="4"/>
    <n v="1407"/>
    <n v="400"/>
    <n v="351"/>
    <n v="16884"/>
    <n v="15954"/>
    <n v="113"/>
    <x v="2"/>
    <n v="0.12781331438047899"/>
    <n v="6.6927268419805699E-3"/>
    <n v="2158"/>
    <x v="1"/>
    <x v="0"/>
    <d v="2024-10-05T00:00:00"/>
    <d v="2024-11-05T00:00:00"/>
  </r>
  <r>
    <x v="32"/>
    <x v="3"/>
    <d v="2024-08-21T00:00:00"/>
    <x v="4"/>
    <x v="4"/>
    <n v="1407"/>
    <n v="400"/>
    <n v="351"/>
    <n v="16884"/>
    <n v="15954"/>
    <n v="113"/>
    <x v="2"/>
    <n v="0.12781331438047899"/>
    <n v="6.6927268419805699E-3"/>
    <n v="2158"/>
    <x v="4"/>
    <x v="0"/>
    <d v="2024-10-05T00:00:00"/>
    <d v="2024-11-05T00:00:00"/>
  </r>
  <r>
    <x v="33"/>
    <x v="3"/>
    <d v="2025-03-26T00:00:00"/>
    <x v="1"/>
    <x v="1"/>
    <n v="1652"/>
    <n v="89"/>
    <n v="357"/>
    <n v="29736"/>
    <n v="28771"/>
    <n v="215"/>
    <x v="1"/>
    <n v="7.0554210384718902E-2"/>
    <n v="7.2302932472423998E-3"/>
    <n v="2098"/>
    <x v="3"/>
    <x v="0"/>
    <d v="2024-06-10T00:00:00"/>
    <d v="2024-07-05T00:00:00"/>
  </r>
  <r>
    <x v="33"/>
    <x v="3"/>
    <d v="2025-03-26T00:00:00"/>
    <x v="1"/>
    <x v="1"/>
    <n v="1652"/>
    <n v="89"/>
    <n v="357"/>
    <n v="29736"/>
    <n v="28771"/>
    <n v="215"/>
    <x v="1"/>
    <n v="7.0554210384718902E-2"/>
    <n v="7.2302932472423998E-3"/>
    <n v="2098"/>
    <x v="4"/>
    <x v="0"/>
    <d v="2024-06-10T00:00:00"/>
    <d v="2024-07-05T00:00:00"/>
  </r>
  <r>
    <x v="34"/>
    <x v="2"/>
    <d v="2024-11-30T00:00:00"/>
    <x v="5"/>
    <x v="5"/>
    <n v="3775"/>
    <n v="16"/>
    <n v="239"/>
    <n v="33975"/>
    <n v="33310"/>
    <n v="271"/>
    <x v="2"/>
    <n v="0.11861662987490799"/>
    <n v="7.9764532744665204E-3"/>
    <n v="4030"/>
    <x v="2"/>
    <x v="0"/>
    <d v="2024-10-05T00:00:00"/>
    <d v="2024-11-05T00:00:00"/>
  </r>
  <r>
    <x v="34"/>
    <x v="2"/>
    <d v="2024-11-30T00:00:00"/>
    <x v="5"/>
    <x v="5"/>
    <n v="3775"/>
    <n v="16"/>
    <n v="239"/>
    <n v="33975"/>
    <n v="33310"/>
    <n v="271"/>
    <x v="2"/>
    <n v="0.11861662987490799"/>
    <n v="7.9764532744665204E-3"/>
    <n v="4030"/>
    <x v="0"/>
    <x v="0"/>
    <d v="2024-10-05T00:00:00"/>
    <d v="2024-11-05T00:00:00"/>
  </r>
  <r>
    <x v="35"/>
    <x v="2"/>
    <d v="2025-04-19T00:00:00"/>
    <x v="2"/>
    <x v="2"/>
    <n v="4518"/>
    <n v="285"/>
    <n v="383"/>
    <n v="67770"/>
    <n v="67621"/>
    <n v="31"/>
    <x v="1"/>
    <n v="7.6523535487678901E-2"/>
    <n v="4.5742954109487998E-4"/>
    <n v="5186"/>
    <x v="4"/>
    <x v="0"/>
    <d v="2024-06-10T00:00:00"/>
    <d v="2024-07-05T00:00:00"/>
  </r>
  <r>
    <x v="36"/>
    <x v="3"/>
    <d v="2025-01-06T00:00:00"/>
    <x v="3"/>
    <x v="3"/>
    <n v="3024"/>
    <n v="925"/>
    <n v="350"/>
    <n v="24192"/>
    <n v="23518"/>
    <n v="36"/>
    <x v="2"/>
    <n v="0.177703373015873"/>
    <n v="1.48809523809524E-3"/>
    <n v="4299"/>
    <x v="0"/>
    <x v="0"/>
    <d v="2024-10-05T00:00:00"/>
    <d v="2024-11-05T00:00:00"/>
  </r>
  <r>
    <x v="37"/>
    <x v="1"/>
    <d v="2025-02-17T00:00:00"/>
    <x v="0"/>
    <x v="0"/>
    <n v="3138"/>
    <n v="123"/>
    <n v="291"/>
    <n v="28242"/>
    <n v="27550"/>
    <n v="87"/>
    <x v="3"/>
    <n v="0.12577012959422099"/>
    <n v="3.0805183768854898E-3"/>
    <n v="3552"/>
    <x v="4"/>
    <x v="0"/>
    <d v="2025-01-10T00:00:00"/>
    <d v="2025-02-10T00:00:00"/>
  </r>
  <r>
    <x v="38"/>
    <x v="3"/>
    <d v="2024-11-25T00:00:00"/>
    <x v="4"/>
    <x v="4"/>
    <n v="3564"/>
    <n v="629"/>
    <n v="177"/>
    <n v="60588"/>
    <n v="59627"/>
    <n v="92"/>
    <x v="2"/>
    <n v="7.2126493695121099E-2"/>
    <n v="1.51845249884466E-3"/>
    <n v="4370"/>
    <x v="4"/>
    <x v="0"/>
    <d v="2024-10-05T00:00:00"/>
    <d v="2024-11-05T00:00:00"/>
  </r>
  <r>
    <x v="38"/>
    <x v="3"/>
    <d v="2024-11-25T00:00:00"/>
    <x v="4"/>
    <x v="4"/>
    <n v="3564"/>
    <n v="629"/>
    <n v="177"/>
    <n v="60588"/>
    <n v="59627"/>
    <n v="92"/>
    <x v="2"/>
    <n v="7.2126493695121099E-2"/>
    <n v="1.51845249884466E-3"/>
    <n v="4370"/>
    <x v="0"/>
    <x v="0"/>
    <d v="2024-10-05T00:00:00"/>
    <d v="2024-11-05T00:00:00"/>
  </r>
  <r>
    <x v="39"/>
    <x v="0"/>
    <d v="2025-03-07T00:00:00"/>
    <x v="4"/>
    <x v="4"/>
    <n v="4750"/>
    <n v="151"/>
    <n v="415"/>
    <n v="38000"/>
    <n v="37792"/>
    <n v="299"/>
    <x v="1"/>
    <n v="0.13989473684210499"/>
    <n v="7.8684210526315801E-3"/>
    <n v="5316"/>
    <x v="2"/>
    <x v="0"/>
    <d v="2024-06-10T00:00:00"/>
    <d v="2024-07-05T00:00:00"/>
  </r>
  <r>
    <x v="39"/>
    <x v="0"/>
    <d v="2025-03-07T00:00:00"/>
    <x v="4"/>
    <x v="4"/>
    <n v="4750"/>
    <n v="151"/>
    <n v="415"/>
    <n v="38000"/>
    <n v="37792"/>
    <n v="299"/>
    <x v="1"/>
    <n v="0.13989473684210499"/>
    <n v="7.8684210526315801E-3"/>
    <n v="5316"/>
    <x v="0"/>
    <x v="0"/>
    <d v="2024-06-10T00:00:00"/>
    <d v="2024-07-05T00:00:00"/>
  </r>
  <r>
    <x v="40"/>
    <x v="2"/>
    <d v="2025-03-08T00:00:00"/>
    <x v="0"/>
    <x v="0"/>
    <n v="456"/>
    <n v="629"/>
    <n v="428"/>
    <n v="8208"/>
    <n v="7377"/>
    <n v="205"/>
    <x v="2"/>
    <n v="0.18433235867446399"/>
    <n v="2.4975633528265099E-2"/>
    <n v="1513"/>
    <x v="0"/>
    <x v="0"/>
    <d v="2024-10-05T00:00:00"/>
    <d v="2024-11-05T00:00:00"/>
  </r>
  <r>
    <x v="40"/>
    <x v="2"/>
    <d v="2025-03-08T00:00:00"/>
    <x v="0"/>
    <x v="0"/>
    <n v="456"/>
    <n v="629"/>
    <n v="428"/>
    <n v="8208"/>
    <n v="7377"/>
    <n v="205"/>
    <x v="2"/>
    <n v="0.18433235867446399"/>
    <n v="2.4975633528265099E-2"/>
    <n v="1513"/>
    <x v="4"/>
    <x v="0"/>
    <d v="2024-10-05T00:00:00"/>
    <d v="2024-11-05T00:00:00"/>
  </r>
  <r>
    <x v="41"/>
    <x v="1"/>
    <d v="2025-03-05T00:00:00"/>
    <x v="0"/>
    <x v="0"/>
    <n v="1543"/>
    <n v="820"/>
    <n v="333"/>
    <n v="12344"/>
    <n v="11496"/>
    <n v="241"/>
    <x v="2"/>
    <n v="0.21840570317563199"/>
    <n v="1.9523655217109501E-2"/>
    <n v="2696"/>
    <x v="2"/>
    <x v="0"/>
    <d v="2024-10-05T00:00:00"/>
    <d v="2024-11-05T00:00:00"/>
  </r>
  <r>
    <x v="42"/>
    <x v="2"/>
    <d v="2024-12-14T00:00:00"/>
    <x v="3"/>
    <x v="3"/>
    <n v="2174"/>
    <n v="658"/>
    <n v="15"/>
    <n v="13044"/>
    <n v="12206"/>
    <n v="137"/>
    <x v="3"/>
    <n v="0.21826126954921801"/>
    <n v="1.05029132168047E-2"/>
    <n v="2847"/>
    <x v="0"/>
    <x v="0"/>
    <d v="2025-01-10T00:00:00"/>
    <d v="2025-02-10T00:00:00"/>
  </r>
  <r>
    <x v="42"/>
    <x v="2"/>
    <d v="2024-12-14T00:00:00"/>
    <x v="3"/>
    <x v="3"/>
    <n v="2174"/>
    <n v="658"/>
    <n v="15"/>
    <n v="13044"/>
    <n v="12206"/>
    <n v="137"/>
    <x v="3"/>
    <n v="0.21826126954921801"/>
    <n v="1.05029132168047E-2"/>
    <n v="2847"/>
    <x v="1"/>
    <x v="0"/>
    <d v="2025-01-10T00:00:00"/>
    <d v="2025-02-10T00:00:00"/>
  </r>
  <r>
    <x v="43"/>
    <x v="0"/>
    <d v="2025-03-02T00:00:00"/>
    <x v="4"/>
    <x v="4"/>
    <n v="2358"/>
    <n v="784"/>
    <n v="344"/>
    <n v="35370"/>
    <n v="34475"/>
    <n v="216"/>
    <x v="0"/>
    <n v="9.8558100084817593E-2"/>
    <n v="6.1068702290076301E-3"/>
    <n v="3486"/>
    <x v="0"/>
    <x v="0"/>
    <d v="2024-08-01T00:00:00"/>
    <d v="2024-08-31T00:00:00"/>
  </r>
  <r>
    <x v="43"/>
    <x v="0"/>
    <d v="2025-03-02T00:00:00"/>
    <x v="4"/>
    <x v="4"/>
    <n v="2358"/>
    <n v="784"/>
    <n v="344"/>
    <n v="35370"/>
    <n v="34475"/>
    <n v="216"/>
    <x v="0"/>
    <n v="9.8558100084817593E-2"/>
    <n v="6.1068702290076301E-3"/>
    <n v="3486"/>
    <x v="2"/>
    <x v="0"/>
    <d v="2024-08-01T00:00:00"/>
    <d v="2024-08-31T00:00:00"/>
  </r>
  <r>
    <x v="44"/>
    <x v="3"/>
    <d v="2024-11-01T00:00:00"/>
    <x v="5"/>
    <x v="5"/>
    <n v="3371"/>
    <n v="106"/>
    <n v="327"/>
    <n v="50565"/>
    <n v="49816"/>
    <n v="176"/>
    <x v="3"/>
    <n v="7.5229902106199897E-2"/>
    <n v="3.4806684465539398E-3"/>
    <n v="3804"/>
    <x v="4"/>
    <x v="0"/>
    <d v="2025-01-10T00:00:00"/>
    <d v="2025-02-10T00:00:00"/>
  </r>
  <r>
    <x v="45"/>
    <x v="0"/>
    <d v="2025-05-02T00:00:00"/>
    <x v="5"/>
    <x v="5"/>
    <n v="1108"/>
    <n v="177"/>
    <n v="212"/>
    <n v="8864"/>
    <n v="8710"/>
    <n v="97"/>
    <x v="3"/>
    <n v="0.16888537906137199"/>
    <n v="1.09431407942238E-2"/>
    <n v="1497"/>
    <x v="1"/>
    <x v="0"/>
    <d v="2025-01-10T00:00:00"/>
    <d v="2025-02-10T00:00:00"/>
  </r>
  <r>
    <x v="46"/>
    <x v="0"/>
    <d v="2025-02-24T00:00:00"/>
    <x v="3"/>
    <x v="3"/>
    <n v="2704"/>
    <n v="752"/>
    <n v="153"/>
    <n v="21632"/>
    <n v="20792"/>
    <n v="127"/>
    <x v="0"/>
    <n v="0.16683616863905301"/>
    <n v="5.8709319526627198E-3"/>
    <n v="3609"/>
    <x v="4"/>
    <x v="0"/>
    <d v="2024-08-01T00:00:00"/>
    <d v="2024-08-31T00:00:00"/>
  </r>
  <r>
    <x v="46"/>
    <x v="0"/>
    <d v="2025-02-24T00:00:00"/>
    <x v="3"/>
    <x v="3"/>
    <n v="2704"/>
    <n v="752"/>
    <n v="153"/>
    <n v="21632"/>
    <n v="20792"/>
    <n v="127"/>
    <x v="0"/>
    <n v="0.16683616863905301"/>
    <n v="5.8709319526627198E-3"/>
    <n v="3609"/>
    <x v="1"/>
    <x v="0"/>
    <d v="2024-08-01T00:00:00"/>
    <d v="2024-08-31T00:00:00"/>
  </r>
  <r>
    <x v="47"/>
    <x v="0"/>
    <d v="2025-03-11T00:00:00"/>
    <x v="2"/>
    <x v="2"/>
    <n v="1950"/>
    <n v="295"/>
    <n v="478"/>
    <n v="37050"/>
    <n v="36272"/>
    <n v="119"/>
    <x v="3"/>
    <n v="7.3495276653171404E-2"/>
    <n v="3.2118758434547898E-3"/>
    <n v="2723"/>
    <x v="1"/>
    <x v="0"/>
    <d v="2025-01-10T00:00:00"/>
    <d v="2025-02-10T00:00:00"/>
  </r>
  <r>
    <x v="47"/>
    <x v="0"/>
    <d v="2025-03-11T00:00:00"/>
    <x v="2"/>
    <x v="2"/>
    <n v="1950"/>
    <n v="295"/>
    <n v="478"/>
    <n v="37050"/>
    <n v="36272"/>
    <n v="119"/>
    <x v="3"/>
    <n v="7.3495276653171404E-2"/>
    <n v="3.2118758434547898E-3"/>
    <n v="2723"/>
    <x v="2"/>
    <x v="0"/>
    <d v="2025-01-10T00:00:00"/>
    <d v="2025-02-10T00:00:00"/>
  </r>
  <r>
    <x v="48"/>
    <x v="0"/>
    <d v="2024-06-10T00:00:00"/>
    <x v="2"/>
    <x v="2"/>
    <n v="2164"/>
    <n v="549"/>
    <n v="274"/>
    <n v="28132"/>
    <n v="27361"/>
    <n v="177"/>
    <x v="0"/>
    <n v="0.106178017915541"/>
    <n v="6.2917673823404E-3"/>
    <n v="2987"/>
    <x v="2"/>
    <x v="0"/>
    <d v="2024-08-01T00:00:00"/>
    <d v="2024-08-31T00:00:00"/>
  </r>
  <r>
    <x v="49"/>
    <x v="1"/>
    <d v="2024-07-03T00:00:00"/>
    <x v="2"/>
    <x v="2"/>
    <n v="2754"/>
    <n v="130"/>
    <n v="90"/>
    <n v="22032"/>
    <n v="21288"/>
    <n v="112"/>
    <x v="0"/>
    <n v="0.13498547567175001"/>
    <n v="5.0835148874364602E-3"/>
    <n v="2974"/>
    <x v="1"/>
    <x v="0"/>
    <d v="2024-08-01T00:00:00"/>
    <d v="2024-08-31T00:00:00"/>
  </r>
  <r>
    <x v="50"/>
    <x v="3"/>
    <d v="2024-06-13T00:00:00"/>
    <x v="3"/>
    <x v="3"/>
    <n v="2200"/>
    <n v="504"/>
    <n v="239"/>
    <n v="37400"/>
    <n v="36938"/>
    <n v="225"/>
    <x v="2"/>
    <n v="7.8689839572192499E-2"/>
    <n v="6.0160427807486603E-3"/>
    <n v="2943"/>
    <x v="0"/>
    <x v="0"/>
    <d v="2024-10-05T00:00:00"/>
    <d v="2024-11-05T00:00:00"/>
  </r>
  <r>
    <x v="51"/>
    <x v="3"/>
    <d v="2025-01-03T00:00:00"/>
    <x v="4"/>
    <x v="4"/>
    <n v="947"/>
    <n v="338"/>
    <n v="350"/>
    <n v="10417"/>
    <n v="9730"/>
    <n v="34"/>
    <x v="2"/>
    <n v="0.15695497744072201"/>
    <n v="3.2638955553422298E-3"/>
    <n v="1635"/>
    <x v="1"/>
    <x v="0"/>
    <d v="2024-10-05T00:00:00"/>
    <d v="2024-11-05T00:00:00"/>
  </r>
  <r>
    <x v="51"/>
    <x v="3"/>
    <d v="2025-01-03T00:00:00"/>
    <x v="4"/>
    <x v="4"/>
    <n v="947"/>
    <n v="338"/>
    <n v="350"/>
    <n v="10417"/>
    <n v="9730"/>
    <n v="34"/>
    <x v="2"/>
    <n v="0.15695497744072201"/>
    <n v="3.2638955553422298E-3"/>
    <n v="1635"/>
    <x v="0"/>
    <x v="0"/>
    <d v="2024-10-05T00:00:00"/>
    <d v="2024-11-05T00:00:00"/>
  </r>
  <r>
    <x v="52"/>
    <x v="1"/>
    <d v="2025-02-24T00:00:00"/>
    <x v="3"/>
    <x v="3"/>
    <n v="804"/>
    <n v="639"/>
    <n v="43"/>
    <n v="4020"/>
    <n v="3144"/>
    <n v="11"/>
    <x v="3"/>
    <n v="0.36965174129353201"/>
    <n v="2.7363184079602001E-3"/>
    <n v="1486"/>
    <x v="2"/>
    <x v="0"/>
    <d v="2025-01-10T00:00:00"/>
    <d v="2025-02-10T00:00:00"/>
  </r>
  <r>
    <x v="52"/>
    <x v="1"/>
    <d v="2025-02-24T00:00:00"/>
    <x v="3"/>
    <x v="3"/>
    <n v="804"/>
    <n v="639"/>
    <n v="43"/>
    <n v="4020"/>
    <n v="3144"/>
    <n v="11"/>
    <x v="3"/>
    <n v="0.36965174129353201"/>
    <n v="2.7363184079602001E-3"/>
    <n v="1486"/>
    <x v="3"/>
    <x v="0"/>
    <d v="2025-01-10T00:00:00"/>
    <d v="2025-02-10T00:00:00"/>
  </r>
  <r>
    <x v="53"/>
    <x v="1"/>
    <d v="2025-03-13T00:00:00"/>
    <x v="3"/>
    <x v="3"/>
    <n v="1686"/>
    <n v="904"/>
    <n v="472"/>
    <n v="18546"/>
    <n v="18171"/>
    <n v="52"/>
    <x v="1"/>
    <n v="0.165102987167044"/>
    <n v="2.8038391027714899E-3"/>
    <n v="3062"/>
    <x v="1"/>
    <x v="0"/>
    <d v="2024-06-10T00:00:00"/>
    <d v="2024-07-05T00:00:00"/>
  </r>
  <r>
    <x v="53"/>
    <x v="1"/>
    <d v="2025-03-13T00:00:00"/>
    <x v="3"/>
    <x v="3"/>
    <n v="1686"/>
    <n v="904"/>
    <n v="472"/>
    <n v="18546"/>
    <n v="18171"/>
    <n v="52"/>
    <x v="1"/>
    <n v="0.165102987167044"/>
    <n v="2.8038391027714899E-3"/>
    <n v="3062"/>
    <x v="4"/>
    <x v="0"/>
    <d v="2024-06-10T00:00:00"/>
    <d v="2024-07-05T00:00:00"/>
  </r>
  <r>
    <x v="54"/>
    <x v="3"/>
    <d v="2024-06-17T00:00:00"/>
    <x v="4"/>
    <x v="4"/>
    <n v="1226"/>
    <n v="119"/>
    <n v="7"/>
    <n v="14712"/>
    <n v="14049"/>
    <n v="123"/>
    <x v="3"/>
    <n v="9.1897770527460607E-2"/>
    <n v="8.3605220228385006E-3"/>
    <n v="1352"/>
    <x v="0"/>
    <x v="0"/>
    <d v="2025-01-10T00:00:00"/>
    <d v="2025-02-10T00:00:00"/>
  </r>
  <r>
    <x v="54"/>
    <x v="3"/>
    <d v="2024-06-17T00:00:00"/>
    <x v="4"/>
    <x v="4"/>
    <n v="1226"/>
    <n v="119"/>
    <n v="7"/>
    <n v="14712"/>
    <n v="14049"/>
    <n v="123"/>
    <x v="3"/>
    <n v="9.1897770527460607E-2"/>
    <n v="8.3605220228385006E-3"/>
    <n v="1352"/>
    <x v="3"/>
    <x v="0"/>
    <d v="2025-01-10T00:00:00"/>
    <d v="2025-02-10T00:00:00"/>
  </r>
  <r>
    <x v="55"/>
    <x v="3"/>
    <d v="2024-12-18T00:00:00"/>
    <x v="3"/>
    <x v="3"/>
    <n v="2946"/>
    <n v="498"/>
    <n v="367"/>
    <n v="29460"/>
    <n v="28527"/>
    <n v="60"/>
    <x v="1"/>
    <n v="0.129361846571623"/>
    <n v="2.0366598778004102E-3"/>
    <n v="3811"/>
    <x v="2"/>
    <x v="0"/>
    <d v="2024-06-10T00:00:00"/>
    <d v="2024-07-05T00:00:00"/>
  </r>
  <r>
    <x v="55"/>
    <x v="3"/>
    <d v="2024-12-18T00:00:00"/>
    <x v="3"/>
    <x v="3"/>
    <n v="2946"/>
    <n v="498"/>
    <n v="367"/>
    <n v="29460"/>
    <n v="28527"/>
    <n v="60"/>
    <x v="1"/>
    <n v="0.129361846571623"/>
    <n v="2.0366598778004102E-3"/>
    <n v="3811"/>
    <x v="4"/>
    <x v="0"/>
    <d v="2024-06-10T00:00:00"/>
    <d v="2024-07-05T00:00:00"/>
  </r>
  <r>
    <x v="56"/>
    <x v="0"/>
    <d v="2024-10-21T00:00:00"/>
    <x v="5"/>
    <x v="5"/>
    <n v="2825"/>
    <n v="535"/>
    <n v="295"/>
    <n v="45200"/>
    <n v="44739"/>
    <n v="169"/>
    <x v="1"/>
    <n v="8.0862831858407105E-2"/>
    <n v="3.7389380530973501E-3"/>
    <n v="3655"/>
    <x v="2"/>
    <x v="0"/>
    <d v="2024-06-10T00:00:00"/>
    <d v="2024-07-05T00:00:00"/>
  </r>
  <r>
    <x v="57"/>
    <x v="2"/>
    <d v="2025-04-15T00:00:00"/>
    <x v="0"/>
    <x v="0"/>
    <n v="103"/>
    <n v="770"/>
    <n v="19"/>
    <n v="1030"/>
    <n v="410"/>
    <n v="262"/>
    <x v="2"/>
    <n v="0.86601941747572797"/>
    <n v="0.25436893203883498"/>
    <n v="892"/>
    <x v="0"/>
    <x v="0"/>
    <d v="2024-10-05T00:00:00"/>
    <d v="2024-11-05T00:00:00"/>
  </r>
  <r>
    <x v="58"/>
    <x v="2"/>
    <d v="2024-06-22T00:00:00"/>
    <x v="1"/>
    <x v="1"/>
    <n v="2180"/>
    <n v="263"/>
    <n v="387"/>
    <n v="30520"/>
    <n v="30059"/>
    <n v="174"/>
    <x v="0"/>
    <n v="9.2726081258191401E-2"/>
    <n v="5.7011795543905602E-3"/>
    <n v="2830"/>
    <x v="4"/>
    <x v="0"/>
    <d v="2024-08-01T00:00:00"/>
    <d v="2024-08-31T00:00:00"/>
  </r>
  <r>
    <x v="59"/>
    <x v="2"/>
    <d v="2025-01-28T00:00:00"/>
    <x v="5"/>
    <x v="5"/>
    <n v="904"/>
    <n v="973"/>
    <n v="63"/>
    <n v="11752"/>
    <n v="11580"/>
    <n v="84"/>
    <x v="0"/>
    <n v="0.16507828454731099"/>
    <n v="7.1477195371000696E-3"/>
    <n v="1940"/>
    <x v="2"/>
    <x v="0"/>
    <d v="2024-08-01T00:00:00"/>
    <d v="2024-08-31T00:00:00"/>
  </r>
  <r>
    <x v="60"/>
    <x v="0"/>
    <d v="2024-09-05T00:00:00"/>
    <x v="5"/>
    <x v="5"/>
    <n v="4886"/>
    <n v="983"/>
    <n v="409"/>
    <n v="43974"/>
    <n v="43239"/>
    <n v="65"/>
    <x v="0"/>
    <n v="0.14276618001546401"/>
    <n v="1.47814617728658E-3"/>
    <n v="6278"/>
    <x v="1"/>
    <x v="0"/>
    <d v="2024-08-01T00:00:00"/>
    <d v="2024-08-31T00:00:00"/>
  </r>
  <r>
    <x v="61"/>
    <x v="0"/>
    <d v="2024-11-22T00:00:00"/>
    <x v="3"/>
    <x v="3"/>
    <n v="53"/>
    <n v="81"/>
    <n v="379"/>
    <n v="954"/>
    <n v="7"/>
    <n v="148"/>
    <x v="2"/>
    <n v="0.53773584905660399"/>
    <n v="0.155136268343816"/>
    <n v="513"/>
    <x v="4"/>
    <x v="0"/>
    <d v="2024-10-05T00:00:00"/>
    <d v="2024-11-05T00:00:00"/>
  </r>
  <r>
    <x v="62"/>
    <x v="0"/>
    <d v="2024-07-31T00:00:00"/>
    <x v="3"/>
    <x v="3"/>
    <n v="4507"/>
    <n v="217"/>
    <n v="13"/>
    <n v="90140"/>
    <n v="89591"/>
    <n v="125"/>
    <x v="0"/>
    <n v="5.2551586421122697E-2"/>
    <n v="1.38673175061016E-3"/>
    <n v="4737"/>
    <x v="0"/>
    <x v="2"/>
    <d v="2024-08-01T00:00:00"/>
    <d v="2024-08-31T00:00:00"/>
  </r>
  <r>
    <x v="63"/>
    <x v="3"/>
    <d v="2024-08-17T00:00:00"/>
    <x v="4"/>
    <x v="4"/>
    <n v="2878"/>
    <n v="248"/>
    <n v="416"/>
    <n v="43170"/>
    <n v="42667"/>
    <n v="75"/>
    <x v="1"/>
    <n v="8.2047718322909399E-2"/>
    <n v="1.73731758165393E-3"/>
    <n v="3542"/>
    <x v="4"/>
    <x v="0"/>
    <d v="2024-06-10T00:00:00"/>
    <d v="2024-07-05T00:00:00"/>
  </r>
  <r>
    <x v="63"/>
    <x v="3"/>
    <d v="2024-08-17T00:00:00"/>
    <x v="4"/>
    <x v="4"/>
    <n v="2878"/>
    <n v="248"/>
    <n v="416"/>
    <n v="43170"/>
    <n v="42667"/>
    <n v="75"/>
    <x v="1"/>
    <n v="8.2047718322909399E-2"/>
    <n v="1.73731758165393E-3"/>
    <n v="3542"/>
    <x v="3"/>
    <x v="0"/>
    <d v="2024-06-10T00:00:00"/>
    <d v="2024-07-05T00:00:00"/>
  </r>
  <r>
    <x v="64"/>
    <x v="2"/>
    <d v="2025-03-28T00:00:00"/>
    <x v="2"/>
    <x v="2"/>
    <n v="1881"/>
    <n v="501"/>
    <n v="99"/>
    <n v="20691"/>
    <n v="19987"/>
    <n v="289"/>
    <x v="1"/>
    <n v="0.119907206031608"/>
    <n v="1.3967425450679E-2"/>
    <n v="2481"/>
    <x v="4"/>
    <x v="0"/>
    <d v="2024-06-10T00:00:00"/>
    <d v="2024-07-05T00:00:00"/>
  </r>
  <r>
    <x v="65"/>
    <x v="0"/>
    <d v="2024-07-26T00:00:00"/>
    <x v="3"/>
    <x v="3"/>
    <n v="432"/>
    <n v="171"/>
    <n v="280"/>
    <n v="3024"/>
    <n v="2285"/>
    <n v="184"/>
    <x v="2"/>
    <n v="0.29199735449735398"/>
    <n v="6.0846560846560802E-2"/>
    <n v="883"/>
    <x v="1"/>
    <x v="0"/>
    <d v="2024-10-05T00:00:00"/>
    <d v="2024-11-05T00:00:00"/>
  </r>
  <r>
    <x v="66"/>
    <x v="3"/>
    <d v="2025-03-29T00:00:00"/>
    <x v="3"/>
    <x v="3"/>
    <n v="4712"/>
    <n v="568"/>
    <n v="127"/>
    <n v="84816"/>
    <n v="84691"/>
    <n v="100"/>
    <x v="0"/>
    <n v="6.3749764195434794E-2"/>
    <n v="1.17902282588191E-3"/>
    <n v="5407"/>
    <x v="4"/>
    <x v="0"/>
    <d v="2024-08-01T00:00:00"/>
    <d v="2024-08-31T00:00:00"/>
  </r>
  <r>
    <x v="67"/>
    <x v="2"/>
    <d v="2024-12-08T00:00:00"/>
    <x v="2"/>
    <x v="2"/>
    <n v="2610"/>
    <n v="126"/>
    <n v="288"/>
    <n v="15660"/>
    <n v="15145"/>
    <n v="73"/>
    <x v="0"/>
    <n v="0.19310344827586201"/>
    <n v="4.6615581098339697E-3"/>
    <n v="3024"/>
    <x v="1"/>
    <x v="0"/>
    <d v="2024-08-01T00:00:00"/>
    <d v="2024-08-31T00:00:00"/>
  </r>
  <r>
    <x v="68"/>
    <x v="0"/>
    <d v="2025-03-08T00:00:00"/>
    <x v="1"/>
    <x v="1"/>
    <n v="1292"/>
    <n v="626"/>
    <n v="496"/>
    <n v="25840"/>
    <n v="24916"/>
    <n v="149"/>
    <x v="3"/>
    <n v="9.3421052631579002E-2"/>
    <n v="5.7662538699690402E-3"/>
    <n v="2414"/>
    <x v="2"/>
    <x v="0"/>
    <d v="2025-01-10T00:00:00"/>
    <d v="2025-02-10T00:00:00"/>
  </r>
  <r>
    <x v="68"/>
    <x v="0"/>
    <d v="2025-03-08T00:00:00"/>
    <x v="1"/>
    <x v="1"/>
    <n v="1292"/>
    <n v="626"/>
    <n v="496"/>
    <n v="25840"/>
    <n v="24916"/>
    <n v="149"/>
    <x v="3"/>
    <n v="9.3421052631579002E-2"/>
    <n v="5.7662538699690402E-3"/>
    <n v="2414"/>
    <x v="3"/>
    <x v="0"/>
    <d v="2025-01-10T00:00:00"/>
    <d v="2025-02-10T00:00:00"/>
  </r>
  <r>
    <x v="69"/>
    <x v="3"/>
    <d v="2025-04-02T00:00:00"/>
    <x v="5"/>
    <x v="5"/>
    <n v="199"/>
    <n v="772"/>
    <n v="400"/>
    <n v="3582"/>
    <n v="2988"/>
    <n v="43"/>
    <x v="0"/>
    <n v="0.38274706867671698"/>
    <n v="1.2004466778336101E-2"/>
    <n v="1371"/>
    <x v="3"/>
    <x v="0"/>
    <d v="2024-08-01T00:00:00"/>
    <d v="2024-08-31T00:00:00"/>
  </r>
  <r>
    <x v="70"/>
    <x v="1"/>
    <d v="2024-09-02T00:00:00"/>
    <x v="3"/>
    <x v="3"/>
    <n v="2551"/>
    <n v="915"/>
    <n v="205"/>
    <n v="30612"/>
    <n v="30360"/>
    <n v="227"/>
    <x v="1"/>
    <n v="0.119920292695675"/>
    <n v="7.4153926564745802E-3"/>
    <n v="3671"/>
    <x v="0"/>
    <x v="0"/>
    <d v="2024-06-10T00:00:00"/>
    <d v="2024-07-05T00:00:00"/>
  </r>
  <r>
    <x v="70"/>
    <x v="1"/>
    <d v="2024-09-02T00:00:00"/>
    <x v="3"/>
    <x v="3"/>
    <n v="2551"/>
    <n v="915"/>
    <n v="205"/>
    <n v="30612"/>
    <n v="30360"/>
    <n v="227"/>
    <x v="1"/>
    <n v="0.119920292695675"/>
    <n v="7.4153926564745802E-3"/>
    <n v="3671"/>
    <x v="4"/>
    <x v="0"/>
    <d v="2024-06-10T00:00:00"/>
    <d v="2024-07-05T00:00:00"/>
  </r>
  <r>
    <x v="71"/>
    <x v="1"/>
    <d v="2025-03-03T00:00:00"/>
    <x v="0"/>
    <x v="0"/>
    <n v="296"/>
    <n v="60"/>
    <n v="141"/>
    <n v="5624"/>
    <n v="5239"/>
    <n v="88"/>
    <x v="3"/>
    <n v="8.8371266002845006E-2"/>
    <n v="1.5647226173542E-2"/>
    <n v="497"/>
    <x v="3"/>
    <x v="0"/>
    <d v="2025-01-10T00:00:00"/>
    <d v="2025-02-10T00:00:00"/>
  </r>
  <r>
    <x v="72"/>
    <x v="3"/>
    <d v="2024-10-18T00:00:00"/>
    <x v="2"/>
    <x v="2"/>
    <n v="4126"/>
    <n v="426"/>
    <n v="486"/>
    <n v="78394"/>
    <n v="77798"/>
    <n v="88"/>
    <x v="0"/>
    <n v="6.4265122330790597E-2"/>
    <n v="1.12253488787407E-3"/>
    <n v="5038"/>
    <x v="1"/>
    <x v="0"/>
    <d v="2024-08-01T00:00:00"/>
    <d v="2024-08-31T00:00:00"/>
  </r>
  <r>
    <x v="73"/>
    <x v="1"/>
    <d v="2024-10-28T00:00:00"/>
    <x v="0"/>
    <x v="0"/>
    <n v="1855"/>
    <n v="200"/>
    <n v="174"/>
    <n v="16695"/>
    <n v="16330"/>
    <n v="123"/>
    <x v="2"/>
    <n v="0.13351302785265001"/>
    <n v="7.3674752920035898E-3"/>
    <n v="2229"/>
    <x v="1"/>
    <x v="1"/>
    <d v="2024-10-05T00:00:00"/>
    <d v="2024-11-05T00:00:00"/>
  </r>
  <r>
    <x v="74"/>
    <x v="2"/>
    <d v="2024-08-01T00:00:00"/>
    <x v="0"/>
    <x v="0"/>
    <n v="1674"/>
    <n v="929"/>
    <n v="37"/>
    <n v="21762"/>
    <n v="20998"/>
    <n v="255"/>
    <x v="2"/>
    <n v="0.121312379376896"/>
    <n v="1.17176730079956E-2"/>
    <n v="2640"/>
    <x v="2"/>
    <x v="0"/>
    <d v="2024-10-05T00:00:00"/>
    <d v="2024-11-05T00:00:00"/>
  </r>
  <r>
    <x v="74"/>
    <x v="2"/>
    <d v="2024-08-01T00:00:00"/>
    <x v="0"/>
    <x v="0"/>
    <n v="1674"/>
    <n v="929"/>
    <n v="37"/>
    <n v="21762"/>
    <n v="20998"/>
    <n v="255"/>
    <x v="2"/>
    <n v="0.121312379376896"/>
    <n v="1.17176730079956E-2"/>
    <n v="2640"/>
    <x v="4"/>
    <x v="0"/>
    <d v="2024-10-05T00:00:00"/>
    <d v="2024-11-05T00:00:00"/>
  </r>
  <r>
    <x v="75"/>
    <x v="0"/>
    <d v="2024-11-07T00:00:00"/>
    <x v="2"/>
    <x v="2"/>
    <n v="1121"/>
    <n v="135"/>
    <n v="18"/>
    <n v="15694"/>
    <n v="14957"/>
    <n v="99"/>
    <x v="3"/>
    <n v="8.1177520071364806E-2"/>
    <n v="6.3081432394545703E-3"/>
    <n v="1274"/>
    <x v="0"/>
    <x v="0"/>
    <d v="2025-01-10T00:00:00"/>
    <d v="2025-02-10T00:00:00"/>
  </r>
  <r>
    <x v="75"/>
    <x v="0"/>
    <d v="2024-11-07T00:00:00"/>
    <x v="2"/>
    <x v="2"/>
    <n v="1121"/>
    <n v="135"/>
    <n v="18"/>
    <n v="15694"/>
    <n v="14957"/>
    <n v="99"/>
    <x v="3"/>
    <n v="8.1177520071364806E-2"/>
    <n v="6.3081432394545703E-3"/>
    <n v="1274"/>
    <x v="1"/>
    <x v="0"/>
    <d v="2025-01-10T00:00:00"/>
    <d v="2025-02-10T00:00:00"/>
  </r>
  <r>
    <x v="76"/>
    <x v="3"/>
    <d v="2025-03-04T00:00:00"/>
    <x v="2"/>
    <x v="2"/>
    <n v="1249"/>
    <n v="116"/>
    <n v="420"/>
    <n v="8743"/>
    <n v="8538"/>
    <n v="63"/>
    <x v="2"/>
    <n v="0.20416333066453199"/>
    <n v="7.2057646116893501E-3"/>
    <n v="1785"/>
    <x v="1"/>
    <x v="0"/>
    <d v="2024-10-05T00:00:00"/>
    <d v="2024-11-05T00:00:00"/>
  </r>
  <r>
    <x v="76"/>
    <x v="3"/>
    <d v="2025-03-04T00:00:00"/>
    <x v="2"/>
    <x v="2"/>
    <n v="1249"/>
    <n v="116"/>
    <n v="420"/>
    <n v="8743"/>
    <n v="8538"/>
    <n v="63"/>
    <x v="2"/>
    <n v="0.20416333066453199"/>
    <n v="7.2057646116893501E-3"/>
    <n v="1785"/>
    <x v="4"/>
    <x v="0"/>
    <d v="2024-10-05T00:00:00"/>
    <d v="2024-11-05T00:00:00"/>
  </r>
  <r>
    <x v="77"/>
    <x v="0"/>
    <d v="2024-06-17T00:00:00"/>
    <x v="4"/>
    <x v="4"/>
    <n v="954"/>
    <n v="324"/>
    <n v="288"/>
    <n v="19080"/>
    <n v="18859"/>
    <n v="21"/>
    <x v="2"/>
    <n v="8.2075471698113203E-2"/>
    <n v="1.10062893081761E-3"/>
    <n v="1566"/>
    <x v="3"/>
    <x v="0"/>
    <d v="2024-10-05T00:00:00"/>
    <d v="2024-11-05T00:00:00"/>
  </r>
  <r>
    <x v="78"/>
    <x v="2"/>
    <d v="2024-10-09T00:00:00"/>
    <x v="3"/>
    <x v="3"/>
    <n v="3068"/>
    <n v="137"/>
    <n v="329"/>
    <n v="39884"/>
    <n v="39404"/>
    <n v="266"/>
    <x v="2"/>
    <n v="8.8606960184535205E-2"/>
    <n v="6.6693410891585604E-3"/>
    <n v="3534"/>
    <x v="0"/>
    <x v="1"/>
    <d v="2024-10-05T00:00:00"/>
    <d v="2024-11-05T00:00:00"/>
  </r>
  <r>
    <x v="78"/>
    <x v="2"/>
    <d v="2024-10-09T00:00:00"/>
    <x v="3"/>
    <x v="3"/>
    <n v="3068"/>
    <n v="137"/>
    <n v="329"/>
    <n v="39884"/>
    <n v="39404"/>
    <n v="266"/>
    <x v="2"/>
    <n v="8.8606960184535205E-2"/>
    <n v="6.6693410891585604E-3"/>
    <n v="3534"/>
    <x v="3"/>
    <x v="1"/>
    <d v="2024-10-05T00:00:00"/>
    <d v="2024-11-05T00:00:00"/>
  </r>
  <r>
    <x v="79"/>
    <x v="2"/>
    <d v="2024-06-13T00:00:00"/>
    <x v="2"/>
    <x v="2"/>
    <n v="2103"/>
    <n v="892"/>
    <n v="103"/>
    <n v="39957"/>
    <n v="39466"/>
    <n v="28"/>
    <x v="1"/>
    <n v="7.75333483494757E-2"/>
    <n v="7.0075330980804405E-4"/>
    <n v="3098"/>
    <x v="4"/>
    <x v="1"/>
    <d v="2024-06-10T00:00:00"/>
    <d v="2024-07-05T00:00:00"/>
  </r>
  <r>
    <x v="79"/>
    <x v="2"/>
    <d v="2024-06-13T00:00:00"/>
    <x v="2"/>
    <x v="2"/>
    <n v="2103"/>
    <n v="892"/>
    <n v="103"/>
    <n v="39957"/>
    <n v="39466"/>
    <n v="28"/>
    <x v="1"/>
    <n v="7.75333483494757E-2"/>
    <n v="7.0075330980804405E-4"/>
    <n v="3098"/>
    <x v="1"/>
    <x v="1"/>
    <d v="2024-06-10T00:00:00"/>
    <d v="2024-07-05T00:00:00"/>
  </r>
  <r>
    <x v="80"/>
    <x v="2"/>
    <d v="2024-10-19T00:00:00"/>
    <x v="2"/>
    <x v="2"/>
    <n v="1816"/>
    <n v="29"/>
    <n v="41"/>
    <n v="19976"/>
    <n v="19262"/>
    <n v="283"/>
    <x v="2"/>
    <n v="9.4413295955146206E-2"/>
    <n v="1.4167000400480601E-2"/>
    <n v="1886"/>
    <x v="3"/>
    <x v="1"/>
    <d v="2024-10-05T00:00:00"/>
    <d v="2024-11-05T00:00:00"/>
  </r>
  <r>
    <x v="80"/>
    <x v="2"/>
    <d v="2024-10-19T00:00:00"/>
    <x v="2"/>
    <x v="2"/>
    <n v="1816"/>
    <n v="29"/>
    <n v="41"/>
    <n v="19976"/>
    <n v="19262"/>
    <n v="283"/>
    <x v="2"/>
    <n v="9.4413295955146206E-2"/>
    <n v="1.4167000400480601E-2"/>
    <n v="1886"/>
    <x v="0"/>
    <x v="1"/>
    <d v="2024-10-05T00:00:00"/>
    <d v="2024-11-05T00:00:00"/>
  </r>
  <r>
    <x v="81"/>
    <x v="2"/>
    <d v="2024-07-24T00:00:00"/>
    <x v="4"/>
    <x v="4"/>
    <n v="725"/>
    <n v="88"/>
    <n v="428"/>
    <n v="14500"/>
    <n v="13637"/>
    <n v="200"/>
    <x v="2"/>
    <n v="8.5586206896551706E-2"/>
    <n v="1.37931034482759E-2"/>
    <n v="1241"/>
    <x v="3"/>
    <x v="0"/>
    <d v="2024-10-05T00:00:00"/>
    <d v="2024-11-05T00:00:00"/>
  </r>
  <r>
    <x v="82"/>
    <x v="1"/>
    <d v="2024-10-15T00:00:00"/>
    <x v="5"/>
    <x v="5"/>
    <n v="1094"/>
    <n v="472"/>
    <n v="21"/>
    <n v="9846"/>
    <n v="9609"/>
    <n v="112"/>
    <x v="2"/>
    <n v="0.161182205971968"/>
    <n v="1.13751777371521E-2"/>
    <n v="1587"/>
    <x v="3"/>
    <x v="1"/>
    <d v="2024-10-05T00:00:00"/>
    <d v="2024-11-05T00:00:00"/>
  </r>
  <r>
    <x v="82"/>
    <x v="1"/>
    <d v="2024-10-15T00:00:00"/>
    <x v="5"/>
    <x v="5"/>
    <n v="1094"/>
    <n v="472"/>
    <n v="21"/>
    <n v="9846"/>
    <n v="9609"/>
    <n v="112"/>
    <x v="2"/>
    <n v="0.161182205971968"/>
    <n v="1.13751777371521E-2"/>
    <n v="1587"/>
    <x v="2"/>
    <x v="1"/>
    <d v="2024-10-05T00:00:00"/>
    <d v="2024-11-05T00:00:00"/>
  </r>
  <r>
    <x v="83"/>
    <x v="3"/>
    <d v="2024-12-09T00:00:00"/>
    <x v="4"/>
    <x v="4"/>
    <n v="1841"/>
    <n v="851"/>
    <n v="342"/>
    <n v="34979"/>
    <n v="34154"/>
    <n v="255"/>
    <x v="0"/>
    <n v="8.6737756939878202E-2"/>
    <n v="7.2900883387175203E-3"/>
    <n v="3034"/>
    <x v="1"/>
    <x v="0"/>
    <d v="2024-08-01T00:00:00"/>
    <d v="2024-08-31T00:00:00"/>
  </r>
  <r>
    <x v="83"/>
    <x v="3"/>
    <d v="2024-12-09T00:00:00"/>
    <x v="4"/>
    <x v="4"/>
    <n v="1841"/>
    <n v="851"/>
    <n v="342"/>
    <n v="34979"/>
    <n v="34154"/>
    <n v="255"/>
    <x v="0"/>
    <n v="8.6737756939878202E-2"/>
    <n v="7.2900883387175203E-3"/>
    <n v="3034"/>
    <x v="4"/>
    <x v="0"/>
    <d v="2024-08-01T00:00:00"/>
    <d v="2024-08-31T00:00:00"/>
  </r>
  <r>
    <x v="84"/>
    <x v="2"/>
    <d v="2025-04-19T00:00:00"/>
    <x v="4"/>
    <x v="4"/>
    <n v="4177"/>
    <n v="569"/>
    <n v="55"/>
    <n v="25062"/>
    <n v="24847"/>
    <n v="230"/>
    <x v="0"/>
    <n v="0.19156491900087799"/>
    <n v="9.1772404436996202E-3"/>
    <n v="4801"/>
    <x v="1"/>
    <x v="0"/>
    <d v="2024-08-01T00:00:00"/>
    <d v="2024-08-31T00:00:00"/>
  </r>
  <r>
    <x v="85"/>
    <x v="1"/>
    <d v="2025-01-27T00:00:00"/>
    <x v="1"/>
    <x v="1"/>
    <n v="3428"/>
    <n v="305"/>
    <n v="85"/>
    <n v="58276"/>
    <n v="58052"/>
    <n v="242"/>
    <x v="2"/>
    <n v="6.5515821264328394E-2"/>
    <n v="4.15265289312925E-3"/>
    <n v="3818"/>
    <x v="3"/>
    <x v="0"/>
    <d v="2024-10-05T00:00:00"/>
    <d v="2024-11-05T00:00:00"/>
  </r>
  <r>
    <x v="85"/>
    <x v="1"/>
    <d v="2025-01-27T00:00:00"/>
    <x v="1"/>
    <x v="1"/>
    <n v="3428"/>
    <n v="305"/>
    <n v="85"/>
    <n v="58276"/>
    <n v="58052"/>
    <n v="242"/>
    <x v="2"/>
    <n v="6.5515821264328394E-2"/>
    <n v="4.15265289312925E-3"/>
    <n v="3818"/>
    <x v="2"/>
    <x v="0"/>
    <d v="2024-10-05T00:00:00"/>
    <d v="2024-11-05T00:00:00"/>
  </r>
  <r>
    <x v="86"/>
    <x v="0"/>
    <d v="2024-06-06T00:00:00"/>
    <x v="5"/>
    <x v="5"/>
    <n v="1436"/>
    <n v="765"/>
    <n v="496"/>
    <n v="12924"/>
    <n v="12701"/>
    <n v="197"/>
    <x v="1"/>
    <n v="0.20868152274837501"/>
    <n v="1.52429588362736E-2"/>
    <n v="2697"/>
    <x v="3"/>
    <x v="2"/>
    <d v="2024-06-10T00:00:00"/>
    <d v="2024-07-05T00:00:00"/>
  </r>
  <r>
    <x v="86"/>
    <x v="0"/>
    <d v="2024-06-06T00:00:00"/>
    <x v="5"/>
    <x v="5"/>
    <n v="1436"/>
    <n v="765"/>
    <n v="496"/>
    <n v="12924"/>
    <n v="12701"/>
    <n v="197"/>
    <x v="1"/>
    <n v="0.20868152274837501"/>
    <n v="1.52429588362736E-2"/>
    <n v="2697"/>
    <x v="0"/>
    <x v="2"/>
    <d v="2024-06-10T00:00:00"/>
    <d v="2024-07-05T00:00:00"/>
  </r>
  <r>
    <x v="87"/>
    <x v="3"/>
    <d v="2024-07-07T00:00:00"/>
    <x v="2"/>
    <x v="2"/>
    <n v="302"/>
    <n v="47"/>
    <n v="430"/>
    <n v="5738"/>
    <n v="4890"/>
    <n v="25"/>
    <x v="1"/>
    <n v="0.13576158940397401"/>
    <n v="4.3569187870338101E-3"/>
    <n v="779"/>
    <x v="1"/>
    <x v="0"/>
    <d v="2024-06-10T00:00:00"/>
    <d v="2024-07-05T00:00:00"/>
  </r>
  <r>
    <x v="87"/>
    <x v="3"/>
    <d v="2024-07-07T00:00:00"/>
    <x v="2"/>
    <x v="2"/>
    <n v="302"/>
    <n v="47"/>
    <n v="430"/>
    <n v="5738"/>
    <n v="4890"/>
    <n v="25"/>
    <x v="1"/>
    <n v="0.13576158940397401"/>
    <n v="4.3569187870338101E-3"/>
    <n v="779"/>
    <x v="0"/>
    <x v="0"/>
    <d v="2024-06-10T00:00:00"/>
    <d v="2024-07-05T00:00:00"/>
  </r>
  <r>
    <x v="88"/>
    <x v="0"/>
    <d v="2025-01-10T00:00:00"/>
    <x v="4"/>
    <x v="4"/>
    <n v="2214"/>
    <n v="249"/>
    <n v="152"/>
    <n v="15498"/>
    <n v="14800"/>
    <n v="180"/>
    <x v="1"/>
    <n v="0.16873144921925401"/>
    <n v="1.1614401858304301E-2"/>
    <n v="2615"/>
    <x v="0"/>
    <x v="0"/>
    <d v="2024-06-10T00:00:00"/>
    <d v="2024-07-05T00:00:00"/>
  </r>
  <r>
    <x v="89"/>
    <x v="2"/>
    <d v="2024-06-03T00:00:00"/>
    <x v="4"/>
    <x v="4"/>
    <n v="3861"/>
    <n v="960"/>
    <n v="101"/>
    <n v="69498"/>
    <n v="68817"/>
    <n v="297"/>
    <x v="1"/>
    <n v="7.0822181933292996E-2"/>
    <n v="4.2735042735042696E-3"/>
    <n v="4922"/>
    <x v="1"/>
    <x v="2"/>
    <d v="2024-06-10T00:00:00"/>
    <d v="2024-07-05T00:00:00"/>
  </r>
  <r>
    <x v="90"/>
    <x v="3"/>
    <d v="2025-03-24T00:00:00"/>
    <x v="4"/>
    <x v="4"/>
    <n v="1263"/>
    <n v="397"/>
    <n v="357"/>
    <n v="25260"/>
    <n v="24615"/>
    <n v="137"/>
    <x v="1"/>
    <n v="7.9849564528899394E-2"/>
    <n v="5.4235946159936696E-3"/>
    <n v="2017"/>
    <x v="0"/>
    <x v="0"/>
    <d v="2024-06-10T00:00:00"/>
    <d v="2024-07-05T00:00:00"/>
  </r>
  <r>
    <x v="91"/>
    <x v="0"/>
    <d v="2024-10-21T00:00:00"/>
    <x v="2"/>
    <x v="2"/>
    <n v="3801"/>
    <n v="967"/>
    <n v="401"/>
    <n v="38010"/>
    <n v="37625"/>
    <n v="236"/>
    <x v="3"/>
    <n v="0.135990528808208"/>
    <n v="6.2088923967376997E-3"/>
    <n v="5169"/>
    <x v="2"/>
    <x v="0"/>
    <d v="2025-01-10T00:00:00"/>
    <d v="2025-02-10T00:00:00"/>
  </r>
  <r>
    <x v="92"/>
    <x v="2"/>
    <d v="2024-12-11T00:00:00"/>
    <x v="5"/>
    <x v="5"/>
    <n v="1431"/>
    <n v="951"/>
    <n v="26"/>
    <n v="8586"/>
    <n v="8396"/>
    <n v="150"/>
    <x v="0"/>
    <n v="0.28045655718611701"/>
    <n v="1.7470300489168401E-2"/>
    <n v="2408"/>
    <x v="3"/>
    <x v="0"/>
    <d v="2024-08-01T00:00:00"/>
    <d v="2024-08-31T00:00:00"/>
  </r>
  <r>
    <x v="92"/>
    <x v="2"/>
    <d v="2024-12-11T00:00:00"/>
    <x v="5"/>
    <x v="5"/>
    <n v="1431"/>
    <n v="951"/>
    <n v="26"/>
    <n v="8586"/>
    <n v="8396"/>
    <n v="150"/>
    <x v="0"/>
    <n v="0.28045655718611701"/>
    <n v="1.7470300489168401E-2"/>
    <n v="2408"/>
    <x v="4"/>
    <x v="0"/>
    <d v="2024-08-01T00:00:00"/>
    <d v="2024-08-31T00:00:00"/>
  </r>
  <r>
    <x v="93"/>
    <x v="2"/>
    <d v="2024-11-07T00:00:00"/>
    <x v="4"/>
    <x v="4"/>
    <n v="2647"/>
    <n v="304"/>
    <n v="170"/>
    <n v="18529"/>
    <n v="17841"/>
    <n v="46"/>
    <x v="1"/>
    <n v="0.16843866371633701"/>
    <n v="2.4825948513141601E-3"/>
    <n v="3121"/>
    <x v="2"/>
    <x v="0"/>
    <d v="2024-06-10T00:00:00"/>
    <d v="2024-07-05T00:00:00"/>
  </r>
  <r>
    <x v="94"/>
    <x v="2"/>
    <d v="2024-11-08T00:00:00"/>
    <x v="1"/>
    <x v="1"/>
    <n v="3182"/>
    <n v="559"/>
    <n v="160"/>
    <n v="57276"/>
    <n v="56890"/>
    <n v="163"/>
    <x v="1"/>
    <n v="6.8108806480899495E-2"/>
    <n v="2.84586912493889E-3"/>
    <n v="3901"/>
    <x v="2"/>
    <x v="0"/>
    <d v="2024-06-10T00:00:00"/>
    <d v="2024-07-05T00:00:00"/>
  </r>
  <r>
    <x v="94"/>
    <x v="2"/>
    <d v="2024-11-08T00:00:00"/>
    <x v="1"/>
    <x v="1"/>
    <n v="3182"/>
    <n v="559"/>
    <n v="160"/>
    <n v="57276"/>
    <n v="56890"/>
    <n v="163"/>
    <x v="1"/>
    <n v="6.8108806480899495E-2"/>
    <n v="2.84586912493889E-3"/>
    <n v="3901"/>
    <x v="3"/>
    <x v="0"/>
    <d v="2024-06-10T00:00:00"/>
    <d v="2024-07-05T00:00:00"/>
  </r>
  <r>
    <x v="95"/>
    <x v="0"/>
    <d v="2024-09-10T00:00:00"/>
    <x v="4"/>
    <x v="4"/>
    <n v="1238"/>
    <n v="366"/>
    <n v="444"/>
    <n v="19808"/>
    <n v="19334"/>
    <n v="123"/>
    <x v="2"/>
    <n v="0.10339256865912801"/>
    <n v="6.20961227786753E-3"/>
    <n v="2048"/>
    <x v="4"/>
    <x v="0"/>
    <d v="2024-10-05T00:00:00"/>
    <d v="2024-11-05T00:00:00"/>
  </r>
  <r>
    <x v="96"/>
    <x v="2"/>
    <d v="2024-08-13T00:00:00"/>
    <x v="4"/>
    <x v="4"/>
    <n v="4739"/>
    <n v="527"/>
    <n v="135"/>
    <n v="61607"/>
    <n v="61333"/>
    <n v="36"/>
    <x v="1"/>
    <n v="8.7668609086629795E-2"/>
    <n v="5.8434918109955003E-4"/>
    <n v="5401"/>
    <x v="2"/>
    <x v="0"/>
    <d v="2024-06-10T00:00:00"/>
    <d v="2024-07-05T00:00:00"/>
  </r>
  <r>
    <x v="96"/>
    <x v="2"/>
    <d v="2024-08-13T00:00:00"/>
    <x v="4"/>
    <x v="4"/>
    <n v="4739"/>
    <n v="527"/>
    <n v="135"/>
    <n v="61607"/>
    <n v="61333"/>
    <n v="36"/>
    <x v="1"/>
    <n v="8.7668609086629795E-2"/>
    <n v="5.8434918109955003E-4"/>
    <n v="5401"/>
    <x v="0"/>
    <x v="0"/>
    <d v="2024-06-10T00:00:00"/>
    <d v="2024-07-05T00:00:00"/>
  </r>
  <r>
    <x v="97"/>
    <x v="0"/>
    <d v="2024-06-10T00:00:00"/>
    <x v="2"/>
    <x v="2"/>
    <n v="1575"/>
    <n v="771"/>
    <n v="486"/>
    <n v="25200"/>
    <n v="24826"/>
    <n v="17"/>
    <x v="2"/>
    <n v="0.112380952380952"/>
    <n v="6.7460317460317498E-4"/>
    <n v="2832"/>
    <x v="2"/>
    <x v="0"/>
    <d v="2024-10-05T00:00:00"/>
    <d v="2024-11-05T00:00:00"/>
  </r>
  <r>
    <x v="98"/>
    <x v="1"/>
    <d v="2024-07-02T00:00:00"/>
    <x v="3"/>
    <x v="3"/>
    <n v="4171"/>
    <n v="548"/>
    <n v="86"/>
    <n v="66736"/>
    <n v="66634"/>
    <n v="173"/>
    <x v="2"/>
    <n v="7.2000119875329602E-2"/>
    <n v="2.5923040038360102E-3"/>
    <n v="4805"/>
    <x v="2"/>
    <x v="0"/>
    <d v="2024-10-05T00:00:00"/>
    <d v="2024-11-05T00:00:00"/>
  </r>
  <r>
    <x v="99"/>
    <x v="1"/>
    <d v="2025-02-10T00:00:00"/>
    <x v="5"/>
    <x v="5"/>
    <n v="1766"/>
    <n v="92"/>
    <n v="424"/>
    <n v="24724"/>
    <n v="24333"/>
    <n v="52"/>
    <x v="0"/>
    <n v="9.2298980747451895E-2"/>
    <n v="2.1032195437631399E-3"/>
    <n v="2282"/>
    <x v="2"/>
    <x v="0"/>
    <d v="2024-08-01T00:00:00"/>
    <d v="2024-08-31T00:00:00"/>
  </r>
  <r>
    <x v="100"/>
    <x v="1"/>
    <d v="2024-10-18T00:00:00"/>
    <x v="5"/>
    <x v="5"/>
    <n v="4450"/>
    <n v="983"/>
    <n v="143"/>
    <n v="75650"/>
    <n v="75008"/>
    <n v="12"/>
    <x v="1"/>
    <n v="7.3707865168539305E-2"/>
    <n v="1.5862524785195E-4"/>
    <n v="5576"/>
    <x v="0"/>
    <x v="0"/>
    <d v="2024-06-10T00:00:00"/>
    <d v="2024-07-05T00:00:00"/>
  </r>
  <r>
    <x v="100"/>
    <x v="1"/>
    <d v="2024-10-18T00:00:00"/>
    <x v="5"/>
    <x v="5"/>
    <n v="4450"/>
    <n v="983"/>
    <n v="143"/>
    <n v="75650"/>
    <n v="75008"/>
    <n v="12"/>
    <x v="1"/>
    <n v="7.3707865168539305E-2"/>
    <n v="1.5862524785195E-4"/>
    <n v="5576"/>
    <x v="2"/>
    <x v="0"/>
    <d v="2024-06-10T00:00:00"/>
    <d v="2024-07-05T00:00:00"/>
  </r>
  <r>
    <x v="101"/>
    <x v="0"/>
    <d v="2024-09-18T00:00:00"/>
    <x v="0"/>
    <x v="0"/>
    <n v="1000"/>
    <n v="978"/>
    <n v="162"/>
    <n v="6000"/>
    <n v="5221"/>
    <n v="223"/>
    <x v="2"/>
    <n v="0.35666666666666702"/>
    <n v="3.7166666666666702E-2"/>
    <n v="2140"/>
    <x v="3"/>
    <x v="0"/>
    <d v="2024-10-05T00:00:00"/>
    <d v="2024-11-05T00:00:00"/>
  </r>
  <r>
    <x v="101"/>
    <x v="0"/>
    <d v="2024-09-18T00:00:00"/>
    <x v="0"/>
    <x v="0"/>
    <n v="1000"/>
    <n v="978"/>
    <n v="162"/>
    <n v="6000"/>
    <n v="5221"/>
    <n v="223"/>
    <x v="2"/>
    <n v="0.35666666666666702"/>
    <n v="3.7166666666666702E-2"/>
    <n v="2140"/>
    <x v="1"/>
    <x v="0"/>
    <d v="2024-10-05T00:00:00"/>
    <d v="2024-11-05T00:00:00"/>
  </r>
  <r>
    <x v="102"/>
    <x v="3"/>
    <d v="2024-06-11T00:00:00"/>
    <x v="4"/>
    <x v="4"/>
    <n v="3689"/>
    <n v="48"/>
    <n v="306"/>
    <n v="40579"/>
    <n v="39588"/>
    <n v="212"/>
    <x v="0"/>
    <n v="9.9632815002833996E-2"/>
    <n v="5.2243771408856804E-3"/>
    <n v="4043"/>
    <x v="3"/>
    <x v="0"/>
    <d v="2024-08-01T00:00:00"/>
    <d v="2024-08-31T00:00:00"/>
  </r>
  <r>
    <x v="103"/>
    <x v="1"/>
    <d v="2025-03-23T00:00:00"/>
    <x v="2"/>
    <x v="2"/>
    <n v="3655"/>
    <n v="568"/>
    <n v="286"/>
    <n v="32895"/>
    <n v="32015"/>
    <n v="199"/>
    <x v="3"/>
    <n v="0.13707250341997301"/>
    <n v="6.0495516035871701E-3"/>
    <n v="4509"/>
    <x v="3"/>
    <x v="0"/>
    <d v="2025-01-10T00:00:00"/>
    <d v="2025-02-10T00:00:00"/>
  </r>
  <r>
    <x v="104"/>
    <x v="2"/>
    <d v="2024-06-14T00:00:00"/>
    <x v="3"/>
    <x v="3"/>
    <n v="498"/>
    <n v="38"/>
    <n v="42"/>
    <n v="4482"/>
    <n v="3647"/>
    <n v="32"/>
    <x v="3"/>
    <n v="0.12896028558679201"/>
    <n v="7.1396697902721996E-3"/>
    <n v="578"/>
    <x v="2"/>
    <x v="0"/>
    <d v="2025-01-10T00:00:00"/>
    <d v="2025-02-10T00:00:00"/>
  </r>
  <r>
    <x v="104"/>
    <x v="2"/>
    <d v="2024-06-14T00:00:00"/>
    <x v="3"/>
    <x v="3"/>
    <n v="498"/>
    <n v="38"/>
    <n v="42"/>
    <n v="4482"/>
    <n v="3647"/>
    <n v="32"/>
    <x v="3"/>
    <n v="0.12896028558679201"/>
    <n v="7.1396697902721996E-3"/>
    <n v="578"/>
    <x v="4"/>
    <x v="0"/>
    <d v="2025-01-10T00:00:00"/>
    <d v="2025-02-10T00:00:00"/>
  </r>
  <r>
    <x v="105"/>
    <x v="2"/>
    <d v="2025-02-04T00:00:00"/>
    <x v="4"/>
    <x v="4"/>
    <n v="4619"/>
    <n v="821"/>
    <n v="499"/>
    <n v="69285"/>
    <n v="69141"/>
    <n v="298"/>
    <x v="0"/>
    <n v="8.5718409468138801E-2"/>
    <n v="4.3010752688172E-3"/>
    <n v="5939"/>
    <x v="1"/>
    <x v="0"/>
    <d v="2024-08-01T00:00:00"/>
    <d v="2024-08-31T00:00:00"/>
  </r>
  <r>
    <x v="106"/>
    <x v="1"/>
    <d v="2024-06-21T00:00:00"/>
    <x v="4"/>
    <x v="4"/>
    <n v="4832"/>
    <n v="893"/>
    <n v="10"/>
    <n v="91808"/>
    <n v="91296"/>
    <n v="182"/>
    <x v="2"/>
    <n v="6.2467323109097202E-2"/>
    <n v="1.9823980481003798E-3"/>
    <n v="5735"/>
    <x v="0"/>
    <x v="0"/>
    <d v="2024-10-05T00:00:00"/>
    <d v="2024-11-05T00:00:00"/>
  </r>
  <r>
    <x v="106"/>
    <x v="1"/>
    <d v="2024-06-21T00:00:00"/>
    <x v="4"/>
    <x v="4"/>
    <n v="4832"/>
    <n v="893"/>
    <n v="10"/>
    <n v="91808"/>
    <n v="91296"/>
    <n v="182"/>
    <x v="2"/>
    <n v="6.2467323109097202E-2"/>
    <n v="1.9823980481003798E-3"/>
    <n v="5735"/>
    <x v="2"/>
    <x v="0"/>
    <d v="2024-10-05T00:00:00"/>
    <d v="2024-11-05T00:00:00"/>
  </r>
  <r>
    <x v="107"/>
    <x v="0"/>
    <d v="2025-03-25T00:00:00"/>
    <x v="5"/>
    <x v="5"/>
    <n v="4050"/>
    <n v="871"/>
    <n v="347"/>
    <n v="52650"/>
    <n v="51755"/>
    <n v="209"/>
    <x v="0"/>
    <n v="0.10005698005697999"/>
    <n v="3.9696106362773001E-3"/>
    <n v="5268"/>
    <x v="2"/>
    <x v="0"/>
    <d v="2024-08-01T00:00:00"/>
    <d v="2024-08-31T00:00:00"/>
  </r>
  <r>
    <x v="107"/>
    <x v="0"/>
    <d v="2025-03-25T00:00:00"/>
    <x v="5"/>
    <x v="5"/>
    <n v="4050"/>
    <n v="871"/>
    <n v="347"/>
    <n v="52650"/>
    <n v="51755"/>
    <n v="209"/>
    <x v="0"/>
    <n v="0.10005698005697999"/>
    <n v="3.9696106362773001E-3"/>
    <n v="5268"/>
    <x v="4"/>
    <x v="0"/>
    <d v="2024-08-01T00:00:00"/>
    <d v="2024-08-31T00:00:00"/>
  </r>
  <r>
    <x v="108"/>
    <x v="0"/>
    <d v="2024-08-08T00:00:00"/>
    <x v="2"/>
    <x v="2"/>
    <n v="3649"/>
    <n v="215"/>
    <n v="413"/>
    <n v="25543"/>
    <n v="24963"/>
    <n v="167"/>
    <x v="0"/>
    <n v="0.16744313510550801"/>
    <n v="6.5379947539443298E-3"/>
    <n v="4277"/>
    <x v="1"/>
    <x v="1"/>
    <d v="2024-08-01T00:00:00"/>
    <d v="2024-08-31T00:00:00"/>
  </r>
  <r>
    <x v="108"/>
    <x v="0"/>
    <d v="2024-08-08T00:00:00"/>
    <x v="2"/>
    <x v="2"/>
    <n v="3649"/>
    <n v="215"/>
    <n v="413"/>
    <n v="25543"/>
    <n v="24963"/>
    <n v="167"/>
    <x v="0"/>
    <n v="0.16744313510550801"/>
    <n v="6.5379947539443298E-3"/>
    <n v="4277"/>
    <x v="2"/>
    <x v="1"/>
    <d v="2024-08-01T00:00:00"/>
    <d v="2024-08-31T00:00:00"/>
  </r>
  <r>
    <x v="109"/>
    <x v="2"/>
    <d v="2024-07-29T00:00:00"/>
    <x v="0"/>
    <x v="0"/>
    <n v="3523"/>
    <n v="753"/>
    <n v="482"/>
    <n v="38753"/>
    <n v="38579"/>
    <n v="270"/>
    <x v="1"/>
    <n v="0.12277759141227799"/>
    <n v="6.9672025391582602E-3"/>
    <n v="4758"/>
    <x v="4"/>
    <x v="0"/>
    <d v="2024-06-10T00:00:00"/>
    <d v="2024-07-05T00:00:00"/>
  </r>
  <r>
    <x v="109"/>
    <x v="2"/>
    <d v="2024-07-29T00:00:00"/>
    <x v="0"/>
    <x v="0"/>
    <n v="3523"/>
    <n v="753"/>
    <n v="482"/>
    <n v="38753"/>
    <n v="38579"/>
    <n v="270"/>
    <x v="1"/>
    <n v="0.12277759141227799"/>
    <n v="6.9672025391582602E-3"/>
    <n v="4758"/>
    <x v="2"/>
    <x v="0"/>
    <d v="2024-06-10T00:00:00"/>
    <d v="2024-07-05T00:00:00"/>
  </r>
  <r>
    <x v="110"/>
    <x v="1"/>
    <d v="2024-11-23T00:00:00"/>
    <x v="4"/>
    <x v="4"/>
    <n v="2719"/>
    <n v="17"/>
    <n v="285"/>
    <n v="40785"/>
    <n v="40281"/>
    <n v="40"/>
    <x v="2"/>
    <n v="7.4071349760941499E-2"/>
    <n v="9.80752727718524E-4"/>
    <n v="3021"/>
    <x v="1"/>
    <x v="0"/>
    <d v="2024-10-05T00:00:00"/>
    <d v="2024-11-05T00:00:00"/>
  </r>
  <r>
    <x v="110"/>
    <x v="1"/>
    <d v="2024-11-23T00:00:00"/>
    <x v="4"/>
    <x v="4"/>
    <n v="2719"/>
    <n v="17"/>
    <n v="285"/>
    <n v="40785"/>
    <n v="40281"/>
    <n v="40"/>
    <x v="2"/>
    <n v="7.4071349760941499E-2"/>
    <n v="9.80752727718524E-4"/>
    <n v="3021"/>
    <x v="2"/>
    <x v="0"/>
    <d v="2024-10-05T00:00:00"/>
    <d v="2024-11-05T00:00:00"/>
  </r>
  <r>
    <x v="111"/>
    <x v="0"/>
    <d v="2024-10-05T00:00:00"/>
    <x v="2"/>
    <x v="2"/>
    <n v="1957"/>
    <n v="877"/>
    <n v="238"/>
    <n v="17613"/>
    <n v="16865"/>
    <n v="297"/>
    <x v="2"/>
    <n v="0.174416624084483"/>
    <n v="1.6862544711292799E-2"/>
    <n v="3072"/>
    <x v="1"/>
    <x v="1"/>
    <d v="2024-10-05T00:00:00"/>
    <d v="2024-11-05T00:00:00"/>
  </r>
  <r>
    <x v="111"/>
    <x v="0"/>
    <d v="2024-10-05T00:00:00"/>
    <x v="2"/>
    <x v="2"/>
    <n v="1957"/>
    <n v="877"/>
    <n v="238"/>
    <n v="17613"/>
    <n v="16865"/>
    <n v="297"/>
    <x v="2"/>
    <n v="0.174416624084483"/>
    <n v="1.6862544711292799E-2"/>
    <n v="3072"/>
    <x v="0"/>
    <x v="1"/>
    <d v="2024-10-05T00:00:00"/>
    <d v="2024-11-05T00:00:00"/>
  </r>
  <r>
    <x v="112"/>
    <x v="0"/>
    <d v="2024-10-02T00:00:00"/>
    <x v="3"/>
    <x v="3"/>
    <n v="4419"/>
    <n v="236"/>
    <n v="369"/>
    <n v="44190"/>
    <n v="43582"/>
    <n v="10"/>
    <x v="3"/>
    <n v="0.113690880289658"/>
    <n v="2.26295541977823E-4"/>
    <n v="5024"/>
    <x v="3"/>
    <x v="0"/>
    <d v="2025-01-10T00:00:00"/>
    <d v="2025-02-10T00:00:00"/>
  </r>
  <r>
    <x v="113"/>
    <x v="0"/>
    <d v="2024-11-14T00:00:00"/>
    <x v="2"/>
    <x v="2"/>
    <n v="4000"/>
    <n v="689"/>
    <n v="488"/>
    <n v="40000"/>
    <n v="39569"/>
    <n v="44"/>
    <x v="2"/>
    <n v="0.12942500000000001"/>
    <n v="1.1000000000000001E-3"/>
    <n v="5177"/>
    <x v="4"/>
    <x v="0"/>
    <d v="2024-10-05T00:00:00"/>
    <d v="2024-11-05T00:00:00"/>
  </r>
  <r>
    <x v="113"/>
    <x v="0"/>
    <d v="2024-11-14T00:00:00"/>
    <x v="2"/>
    <x v="2"/>
    <n v="4000"/>
    <n v="689"/>
    <n v="488"/>
    <n v="40000"/>
    <n v="39569"/>
    <n v="44"/>
    <x v="2"/>
    <n v="0.12942500000000001"/>
    <n v="1.1000000000000001E-3"/>
    <n v="5177"/>
    <x v="1"/>
    <x v="0"/>
    <d v="2024-10-05T00:00:00"/>
    <d v="2024-11-05T00:00:00"/>
  </r>
  <r>
    <x v="114"/>
    <x v="0"/>
    <d v="2025-05-11T00:00:00"/>
    <x v="4"/>
    <x v="4"/>
    <n v="2493"/>
    <n v="97"/>
    <n v="44"/>
    <n v="42381"/>
    <n v="41991"/>
    <n v="242"/>
    <x v="0"/>
    <n v="6.21504919657394E-2"/>
    <n v="5.7101059437011902E-3"/>
    <n v="2634"/>
    <x v="0"/>
    <x v="0"/>
    <d v="2024-08-01T00:00:00"/>
    <d v="2024-08-31T00:00:00"/>
  </r>
  <r>
    <x v="114"/>
    <x v="0"/>
    <d v="2025-05-11T00:00:00"/>
    <x v="4"/>
    <x v="4"/>
    <n v="2493"/>
    <n v="97"/>
    <n v="44"/>
    <n v="42381"/>
    <n v="41991"/>
    <n v="242"/>
    <x v="0"/>
    <n v="6.21504919657394E-2"/>
    <n v="5.7101059437011902E-3"/>
    <n v="2634"/>
    <x v="2"/>
    <x v="0"/>
    <d v="2024-08-01T00:00:00"/>
    <d v="2024-08-31T00:00:00"/>
  </r>
  <r>
    <x v="115"/>
    <x v="1"/>
    <d v="2025-03-18T00:00:00"/>
    <x v="0"/>
    <x v="0"/>
    <n v="3704"/>
    <n v="186"/>
    <n v="458"/>
    <n v="25928"/>
    <n v="25081"/>
    <n v="131"/>
    <x v="0"/>
    <n v="0.167695155816106"/>
    <n v="5.0524529466214104E-3"/>
    <n v="4348"/>
    <x v="2"/>
    <x v="0"/>
    <d v="2024-08-01T00:00:00"/>
    <d v="2024-08-31T00:00:00"/>
  </r>
  <r>
    <x v="116"/>
    <x v="0"/>
    <d v="2024-11-04T00:00:00"/>
    <x v="4"/>
    <x v="4"/>
    <n v="1606"/>
    <n v="451"/>
    <n v="405"/>
    <n v="20878"/>
    <n v="20190"/>
    <n v="219"/>
    <x v="1"/>
    <n v="0.117923172717693"/>
    <n v="1.04895104895105E-2"/>
    <n v="2462"/>
    <x v="0"/>
    <x v="0"/>
    <d v="2024-06-10T00:00:00"/>
    <d v="2024-07-05T00:00:00"/>
  </r>
  <r>
    <x v="116"/>
    <x v="0"/>
    <d v="2024-11-04T00:00:00"/>
    <x v="4"/>
    <x v="4"/>
    <n v="1606"/>
    <n v="451"/>
    <n v="405"/>
    <n v="20878"/>
    <n v="20190"/>
    <n v="219"/>
    <x v="1"/>
    <n v="0.117923172717693"/>
    <n v="1.04895104895105E-2"/>
    <n v="2462"/>
    <x v="2"/>
    <x v="0"/>
    <d v="2024-06-10T00:00:00"/>
    <d v="2024-07-05T00:00:00"/>
  </r>
  <r>
    <x v="117"/>
    <x v="3"/>
    <d v="2024-11-04T00:00:00"/>
    <x v="4"/>
    <x v="4"/>
    <n v="4551"/>
    <n v="714"/>
    <n v="207"/>
    <n v="68265"/>
    <n v="67754"/>
    <n v="57"/>
    <x v="1"/>
    <n v="8.0158206987475306E-2"/>
    <n v="8.3498132278620103E-4"/>
    <n v="5472"/>
    <x v="3"/>
    <x v="0"/>
    <d v="2024-06-10T00:00:00"/>
    <d v="2024-07-05T00:00:00"/>
  </r>
  <r>
    <x v="118"/>
    <x v="2"/>
    <d v="2025-02-07T00:00:00"/>
    <x v="0"/>
    <x v="0"/>
    <n v="1970"/>
    <n v="675"/>
    <n v="478"/>
    <n v="9850"/>
    <n v="8924"/>
    <n v="117"/>
    <x v="3"/>
    <n v="0.31705583756345201"/>
    <n v="1.1878172588832499E-2"/>
    <n v="3123"/>
    <x v="3"/>
    <x v="1"/>
    <d v="2025-01-10T00:00:00"/>
    <d v="2025-02-10T00:00:00"/>
  </r>
  <r>
    <x v="119"/>
    <x v="3"/>
    <d v="2024-10-21T00:00:00"/>
    <x v="2"/>
    <x v="2"/>
    <n v="780"/>
    <n v="928"/>
    <n v="301"/>
    <n v="8580"/>
    <n v="8081"/>
    <n v="91"/>
    <x v="3"/>
    <n v="0.23414918414918401"/>
    <n v="1.06060606060606E-2"/>
    <n v="2009"/>
    <x v="0"/>
    <x v="0"/>
    <d v="2025-01-10T00:00:00"/>
    <d v="2025-02-10T00:00:00"/>
  </r>
  <r>
    <x v="119"/>
    <x v="3"/>
    <d v="2024-10-21T00:00:00"/>
    <x v="2"/>
    <x v="2"/>
    <n v="780"/>
    <n v="928"/>
    <n v="301"/>
    <n v="8580"/>
    <n v="8081"/>
    <n v="91"/>
    <x v="3"/>
    <n v="0.23414918414918401"/>
    <n v="1.06060606060606E-2"/>
    <n v="2009"/>
    <x v="1"/>
    <x v="0"/>
    <d v="2025-01-10T00:00:00"/>
    <d v="2025-02-10T00:00:00"/>
  </r>
  <r>
    <x v="120"/>
    <x v="2"/>
    <d v="2024-07-29T00:00:00"/>
    <x v="2"/>
    <x v="2"/>
    <n v="498"/>
    <n v="701"/>
    <n v="412"/>
    <n v="4980"/>
    <n v="4185"/>
    <n v="185"/>
    <x v="3"/>
    <n v="0.32349397590361401"/>
    <n v="3.7148594377510002E-2"/>
    <n v="1611"/>
    <x v="4"/>
    <x v="0"/>
    <d v="2025-01-10T00:00:00"/>
    <d v="2025-02-10T00:00:00"/>
  </r>
  <r>
    <x v="120"/>
    <x v="2"/>
    <d v="2024-07-29T00:00:00"/>
    <x v="2"/>
    <x v="2"/>
    <n v="498"/>
    <n v="701"/>
    <n v="412"/>
    <n v="4980"/>
    <n v="4185"/>
    <n v="185"/>
    <x v="3"/>
    <n v="0.32349397590361401"/>
    <n v="3.7148594377510002E-2"/>
    <n v="1611"/>
    <x v="2"/>
    <x v="0"/>
    <d v="2025-01-10T00:00:00"/>
    <d v="2025-02-10T00:00:00"/>
  </r>
  <r>
    <x v="121"/>
    <x v="2"/>
    <d v="2024-10-02T00:00:00"/>
    <x v="1"/>
    <x v="1"/>
    <n v="3432"/>
    <n v="869"/>
    <n v="123"/>
    <n v="54912"/>
    <n v="53916"/>
    <n v="264"/>
    <x v="1"/>
    <n v="8.0565268065268106E-2"/>
    <n v="4.8076923076923097E-3"/>
    <n v="4424"/>
    <x v="1"/>
    <x v="0"/>
    <d v="2024-06-10T00:00:00"/>
    <d v="2024-07-05T00:00:00"/>
  </r>
  <r>
    <x v="121"/>
    <x v="2"/>
    <d v="2024-10-02T00:00:00"/>
    <x v="1"/>
    <x v="1"/>
    <n v="3432"/>
    <n v="869"/>
    <n v="123"/>
    <n v="54912"/>
    <n v="53916"/>
    <n v="264"/>
    <x v="1"/>
    <n v="8.0565268065268106E-2"/>
    <n v="4.8076923076923097E-3"/>
    <n v="4424"/>
    <x v="3"/>
    <x v="0"/>
    <d v="2024-06-10T00:00:00"/>
    <d v="2024-07-05T00:00:00"/>
  </r>
  <r>
    <x v="122"/>
    <x v="2"/>
    <d v="2024-06-14T00:00:00"/>
    <x v="2"/>
    <x v="2"/>
    <n v="4363"/>
    <n v="649"/>
    <n v="140"/>
    <n v="21815"/>
    <n v="21481"/>
    <n v="157"/>
    <x v="1"/>
    <n v="0.23616777446710999"/>
    <n v="7.19688287875315E-3"/>
    <n v="5152"/>
    <x v="0"/>
    <x v="1"/>
    <d v="2024-06-10T00:00:00"/>
    <d v="2024-07-05T00:00:00"/>
  </r>
  <r>
    <x v="122"/>
    <x v="2"/>
    <d v="2024-06-14T00:00:00"/>
    <x v="2"/>
    <x v="2"/>
    <n v="4363"/>
    <n v="649"/>
    <n v="140"/>
    <n v="21815"/>
    <n v="21481"/>
    <n v="157"/>
    <x v="1"/>
    <n v="0.23616777446710999"/>
    <n v="7.19688287875315E-3"/>
    <n v="5152"/>
    <x v="1"/>
    <x v="1"/>
    <d v="2024-06-10T00:00:00"/>
    <d v="2024-07-05T00:00:00"/>
  </r>
  <r>
    <x v="123"/>
    <x v="1"/>
    <d v="2025-04-06T00:00:00"/>
    <x v="3"/>
    <x v="3"/>
    <n v="736"/>
    <n v="771"/>
    <n v="225"/>
    <n v="5152"/>
    <n v="4706"/>
    <n v="19"/>
    <x v="2"/>
    <n v="0.33618012422360199"/>
    <n v="3.6878881987577601E-3"/>
    <n v="1732"/>
    <x v="2"/>
    <x v="0"/>
    <d v="2024-10-05T00:00:00"/>
    <d v="2024-11-05T00:00:00"/>
  </r>
  <r>
    <x v="124"/>
    <x v="0"/>
    <d v="2024-09-08T00:00:00"/>
    <x v="3"/>
    <x v="3"/>
    <n v="3811"/>
    <n v="866"/>
    <n v="216"/>
    <n v="34299"/>
    <n v="34088"/>
    <n v="233"/>
    <x v="2"/>
    <n v="0.142657220327123"/>
    <n v="6.7932009679582501E-3"/>
    <n v="4893"/>
    <x v="2"/>
    <x v="0"/>
    <d v="2024-10-05T00:00:00"/>
    <d v="2024-11-05T00:00:00"/>
  </r>
  <r>
    <x v="125"/>
    <x v="2"/>
    <d v="2025-03-28T00:00:00"/>
    <x v="3"/>
    <x v="3"/>
    <n v="4158"/>
    <n v="167"/>
    <n v="241"/>
    <n v="45738"/>
    <n v="45183"/>
    <n v="142"/>
    <x v="1"/>
    <n v="9.9829463465827106E-2"/>
    <n v="3.1046394682758302E-3"/>
    <n v="4566"/>
    <x v="1"/>
    <x v="0"/>
    <d v="2024-06-10T00:00:00"/>
    <d v="2024-07-05T00:00:00"/>
  </r>
  <r>
    <x v="126"/>
    <x v="3"/>
    <d v="2025-01-27T00:00:00"/>
    <x v="0"/>
    <x v="0"/>
    <n v="3452"/>
    <n v="652"/>
    <n v="442"/>
    <n v="65588"/>
    <n v="65049"/>
    <n v="158"/>
    <x v="0"/>
    <n v="6.9311459413307297E-2"/>
    <n v="2.40897725193633E-3"/>
    <n v="4546"/>
    <x v="0"/>
    <x v="0"/>
    <d v="2024-08-01T00:00:00"/>
    <d v="2024-08-31T00:00:00"/>
  </r>
  <r>
    <x v="126"/>
    <x v="3"/>
    <d v="2025-01-27T00:00:00"/>
    <x v="0"/>
    <x v="0"/>
    <n v="3452"/>
    <n v="652"/>
    <n v="442"/>
    <n v="65588"/>
    <n v="65049"/>
    <n v="158"/>
    <x v="0"/>
    <n v="6.9311459413307297E-2"/>
    <n v="2.40897725193633E-3"/>
    <n v="4546"/>
    <x v="2"/>
    <x v="0"/>
    <d v="2024-08-01T00:00:00"/>
    <d v="2024-08-31T00:00:00"/>
  </r>
  <r>
    <x v="127"/>
    <x v="0"/>
    <d v="2025-01-10T00:00:00"/>
    <x v="4"/>
    <x v="4"/>
    <n v="3092"/>
    <n v="106"/>
    <n v="291"/>
    <n v="27828"/>
    <n v="27217"/>
    <n v="102"/>
    <x v="3"/>
    <n v="0.12537731780940101"/>
    <n v="3.6653730056058599E-3"/>
    <n v="3489"/>
    <x v="2"/>
    <x v="1"/>
    <d v="2025-01-10T00:00:00"/>
    <d v="2025-02-10T00:00:00"/>
  </r>
  <r>
    <x v="128"/>
    <x v="0"/>
    <d v="2024-07-21T00:00:00"/>
    <x v="1"/>
    <x v="1"/>
    <n v="2147"/>
    <n v="430"/>
    <n v="393"/>
    <n v="17176"/>
    <n v="16483"/>
    <n v="170"/>
    <x v="3"/>
    <n v="0.17291569632044701"/>
    <n v="9.8975314392175107E-3"/>
    <n v="2970"/>
    <x v="4"/>
    <x v="0"/>
    <d v="2025-01-10T00:00:00"/>
    <d v="2025-02-10T00:00:00"/>
  </r>
  <r>
    <x v="129"/>
    <x v="1"/>
    <d v="2024-09-29T00:00:00"/>
    <x v="0"/>
    <x v="0"/>
    <n v="2936"/>
    <n v="439"/>
    <n v="44"/>
    <n v="38168"/>
    <n v="37571"/>
    <n v="22"/>
    <x v="2"/>
    <n v="8.9577656675749295E-2"/>
    <n v="5.7639907776147598E-4"/>
    <n v="3419"/>
    <x v="0"/>
    <x v="2"/>
    <d v="2024-10-05T00:00:00"/>
    <d v="2024-11-05T00:00:00"/>
  </r>
  <r>
    <x v="130"/>
    <x v="2"/>
    <d v="2024-10-21T00:00:00"/>
    <x v="0"/>
    <x v="0"/>
    <n v="4840"/>
    <n v="658"/>
    <n v="211"/>
    <n v="43560"/>
    <n v="43225"/>
    <n v="57"/>
    <x v="1"/>
    <n v="0.13106060606060599"/>
    <n v="1.3085399449035799E-3"/>
    <n v="5709"/>
    <x v="0"/>
    <x v="0"/>
    <d v="2024-06-10T00:00:00"/>
    <d v="2024-07-05T00:00:00"/>
  </r>
  <r>
    <x v="130"/>
    <x v="2"/>
    <d v="2024-10-21T00:00:00"/>
    <x v="0"/>
    <x v="0"/>
    <n v="4840"/>
    <n v="658"/>
    <n v="211"/>
    <n v="43560"/>
    <n v="43225"/>
    <n v="57"/>
    <x v="1"/>
    <n v="0.13106060606060599"/>
    <n v="1.3085399449035799E-3"/>
    <n v="5709"/>
    <x v="1"/>
    <x v="0"/>
    <d v="2024-06-10T00:00:00"/>
    <d v="2024-07-05T00:00:00"/>
  </r>
  <r>
    <x v="131"/>
    <x v="2"/>
    <d v="2025-03-04T00:00:00"/>
    <x v="2"/>
    <x v="2"/>
    <n v="1947"/>
    <n v="842"/>
    <n v="101"/>
    <n v="21417"/>
    <n v="20967"/>
    <n v="186"/>
    <x v="1"/>
    <n v="0.134939534015035"/>
    <n v="8.6846897324555205E-3"/>
    <n v="2890"/>
    <x v="1"/>
    <x v="0"/>
    <d v="2024-06-10T00:00:00"/>
    <d v="2024-07-05T00:00:00"/>
  </r>
  <r>
    <x v="132"/>
    <x v="3"/>
    <d v="2025-02-06T00:00:00"/>
    <x v="4"/>
    <x v="4"/>
    <n v="2072"/>
    <n v="532"/>
    <n v="71"/>
    <n v="37296"/>
    <n v="36467"/>
    <n v="25"/>
    <x v="2"/>
    <n v="7.1723509223509202E-2"/>
    <n v="6.7031317031317E-4"/>
    <n v="2675"/>
    <x v="0"/>
    <x v="0"/>
    <d v="2024-10-05T00:00:00"/>
    <d v="2024-11-05T00:00:00"/>
  </r>
  <r>
    <x v="133"/>
    <x v="0"/>
    <d v="2025-04-24T00:00:00"/>
    <x v="0"/>
    <x v="0"/>
    <n v="3731"/>
    <n v="115"/>
    <n v="135"/>
    <n v="55965"/>
    <n v="55436"/>
    <n v="103"/>
    <x v="3"/>
    <n v="7.1133744304475999E-2"/>
    <n v="1.84043598677745E-3"/>
    <n v="3981"/>
    <x v="4"/>
    <x v="0"/>
    <d v="2025-01-10T00:00:00"/>
    <d v="2025-02-10T00:00:00"/>
  </r>
  <r>
    <x v="134"/>
    <x v="3"/>
    <d v="2024-11-28T00:00:00"/>
    <x v="1"/>
    <x v="1"/>
    <n v="4213"/>
    <n v="253"/>
    <n v="434"/>
    <n v="75834"/>
    <n v="75437"/>
    <n v="272"/>
    <x v="2"/>
    <n v="6.4614816573041106E-2"/>
    <n v="3.5867816546667698E-3"/>
    <n v="4900"/>
    <x v="3"/>
    <x v="0"/>
    <d v="2024-10-05T00:00:00"/>
    <d v="2024-11-05T00:00:00"/>
  </r>
  <r>
    <x v="135"/>
    <x v="2"/>
    <d v="2024-07-11T00:00:00"/>
    <x v="1"/>
    <x v="1"/>
    <n v="3134"/>
    <n v="888"/>
    <n v="444"/>
    <n v="21938"/>
    <n v="21337"/>
    <n v="130"/>
    <x v="3"/>
    <n v="0.203573707721761"/>
    <n v="5.9257908651654699E-3"/>
    <n v="4466"/>
    <x v="0"/>
    <x v="0"/>
    <d v="2025-01-10T00:00:00"/>
    <d v="2025-02-10T00:00:00"/>
  </r>
  <r>
    <x v="135"/>
    <x v="2"/>
    <d v="2024-07-11T00:00:00"/>
    <x v="1"/>
    <x v="1"/>
    <n v="3134"/>
    <n v="888"/>
    <n v="444"/>
    <n v="21938"/>
    <n v="21337"/>
    <n v="130"/>
    <x v="3"/>
    <n v="0.203573707721761"/>
    <n v="5.9257908651654699E-3"/>
    <n v="4466"/>
    <x v="1"/>
    <x v="0"/>
    <d v="2025-01-10T00:00:00"/>
    <d v="2025-02-10T00:00:00"/>
  </r>
  <r>
    <x v="136"/>
    <x v="3"/>
    <d v="2024-07-31T00:00:00"/>
    <x v="5"/>
    <x v="5"/>
    <n v="3008"/>
    <n v="94"/>
    <n v="37"/>
    <n v="15040"/>
    <n v="14639"/>
    <n v="277"/>
    <x v="0"/>
    <n v="0.20871010638297899"/>
    <n v="1.84175531914894E-2"/>
    <n v="3139"/>
    <x v="4"/>
    <x v="2"/>
    <d v="2024-08-01T00:00:00"/>
    <d v="2024-08-31T00:00:00"/>
  </r>
  <r>
    <x v="137"/>
    <x v="0"/>
    <d v="2025-03-29T00:00:00"/>
    <x v="4"/>
    <x v="4"/>
    <n v="305"/>
    <n v="187"/>
    <n v="243"/>
    <n v="4575"/>
    <n v="3704"/>
    <n v="234"/>
    <x v="3"/>
    <n v="0.16065573770491801"/>
    <n v="5.1147540983606597E-2"/>
    <n v="735"/>
    <x v="1"/>
    <x v="0"/>
    <d v="2025-01-10T00:00:00"/>
    <d v="2025-02-10T00:00:00"/>
  </r>
  <r>
    <x v="137"/>
    <x v="0"/>
    <d v="2025-03-29T00:00:00"/>
    <x v="4"/>
    <x v="4"/>
    <n v="305"/>
    <n v="187"/>
    <n v="243"/>
    <n v="4575"/>
    <n v="3704"/>
    <n v="234"/>
    <x v="3"/>
    <n v="0.16065573770491801"/>
    <n v="5.1147540983606597E-2"/>
    <n v="735"/>
    <x v="3"/>
    <x v="0"/>
    <d v="2025-01-10T00:00:00"/>
    <d v="2025-02-10T00:00:00"/>
  </r>
  <r>
    <x v="138"/>
    <x v="1"/>
    <d v="2024-10-29T00:00:00"/>
    <x v="1"/>
    <x v="1"/>
    <n v="2746"/>
    <n v="156"/>
    <n v="203"/>
    <n v="32952"/>
    <n v="32147"/>
    <n v="147"/>
    <x v="1"/>
    <n v="9.4227967953386699E-2"/>
    <n v="4.46103423160961E-3"/>
    <n v="3105"/>
    <x v="1"/>
    <x v="0"/>
    <d v="2024-06-10T00:00:00"/>
    <d v="2024-07-05T00:00:00"/>
  </r>
  <r>
    <x v="138"/>
    <x v="1"/>
    <d v="2024-10-29T00:00:00"/>
    <x v="1"/>
    <x v="1"/>
    <n v="2746"/>
    <n v="156"/>
    <n v="203"/>
    <n v="32952"/>
    <n v="32147"/>
    <n v="147"/>
    <x v="1"/>
    <n v="9.4227967953386699E-2"/>
    <n v="4.46103423160961E-3"/>
    <n v="3105"/>
    <x v="2"/>
    <x v="0"/>
    <d v="2024-06-10T00:00:00"/>
    <d v="2024-07-05T00:00:00"/>
  </r>
  <r>
    <x v="139"/>
    <x v="3"/>
    <d v="2024-07-15T00:00:00"/>
    <x v="4"/>
    <x v="4"/>
    <n v="2291"/>
    <n v="78"/>
    <n v="485"/>
    <n v="18328"/>
    <n v="18101"/>
    <n v="10"/>
    <x v="0"/>
    <n v="0.155718027062418"/>
    <n v="5.4561326931470999E-4"/>
    <n v="2854"/>
    <x v="4"/>
    <x v="0"/>
    <d v="2024-08-01T00:00:00"/>
    <d v="2024-08-31T00:00:00"/>
  </r>
  <r>
    <x v="140"/>
    <x v="0"/>
    <d v="2024-08-31T00:00:00"/>
    <x v="4"/>
    <x v="4"/>
    <n v="3170"/>
    <n v="857"/>
    <n v="379"/>
    <n v="19020"/>
    <n v="18559"/>
    <n v="240"/>
    <x v="2"/>
    <n v="0.23165089379600401"/>
    <n v="1.2618296529968501E-2"/>
    <n v="4406"/>
    <x v="0"/>
    <x v="0"/>
    <d v="2024-10-05T00:00:00"/>
    <d v="2024-11-05T00:00:00"/>
  </r>
  <r>
    <x v="141"/>
    <x v="1"/>
    <d v="2025-03-25T00:00:00"/>
    <x v="2"/>
    <x v="2"/>
    <n v="2070"/>
    <n v="275"/>
    <n v="386"/>
    <n v="39330"/>
    <n v="38627"/>
    <n v="114"/>
    <x v="3"/>
    <n v="6.9438087973557105E-2"/>
    <n v="2.8985507246376799E-3"/>
    <n v="2731"/>
    <x v="0"/>
    <x v="0"/>
    <d v="2025-01-10T00:00:00"/>
    <d v="2025-02-10T00:00:00"/>
  </r>
  <r>
    <x v="142"/>
    <x v="1"/>
    <d v="2024-10-02T00:00:00"/>
    <x v="3"/>
    <x v="3"/>
    <n v="80"/>
    <n v="362"/>
    <n v="80"/>
    <n v="1040"/>
    <n v="349"/>
    <n v="117"/>
    <x v="1"/>
    <n v="0.50192307692307703"/>
    <n v="0.1125"/>
    <n v="522"/>
    <x v="1"/>
    <x v="0"/>
    <d v="2024-06-10T00:00:00"/>
    <d v="2024-07-05T00:00:00"/>
  </r>
  <r>
    <x v="142"/>
    <x v="1"/>
    <d v="2024-10-02T00:00:00"/>
    <x v="3"/>
    <x v="3"/>
    <n v="80"/>
    <n v="362"/>
    <n v="80"/>
    <n v="1040"/>
    <n v="349"/>
    <n v="117"/>
    <x v="1"/>
    <n v="0.50192307692307703"/>
    <n v="0.1125"/>
    <n v="522"/>
    <x v="2"/>
    <x v="0"/>
    <d v="2024-06-10T00:00:00"/>
    <d v="2024-07-05T00:00:00"/>
  </r>
  <r>
    <x v="143"/>
    <x v="1"/>
    <d v="2024-10-28T00:00:00"/>
    <x v="2"/>
    <x v="2"/>
    <n v="4929"/>
    <n v="749"/>
    <n v="452"/>
    <n v="93651"/>
    <n v="92810"/>
    <n v="66"/>
    <x v="0"/>
    <n v="6.5455787978772204E-2"/>
    <n v="7.0474420988563902E-4"/>
    <n v="6130"/>
    <x v="3"/>
    <x v="0"/>
    <d v="2024-08-01T00:00:00"/>
    <d v="2024-08-31T00:00:00"/>
  </r>
  <r>
    <x v="143"/>
    <x v="1"/>
    <d v="2024-10-28T00:00:00"/>
    <x v="2"/>
    <x v="2"/>
    <n v="4929"/>
    <n v="749"/>
    <n v="452"/>
    <n v="93651"/>
    <n v="92810"/>
    <n v="66"/>
    <x v="0"/>
    <n v="6.5455787978772204E-2"/>
    <n v="7.0474420988563902E-4"/>
    <n v="6130"/>
    <x v="2"/>
    <x v="0"/>
    <d v="2024-08-01T00:00:00"/>
    <d v="2024-08-31T00:00:00"/>
  </r>
  <r>
    <x v="144"/>
    <x v="2"/>
    <d v="2024-08-12T00:00:00"/>
    <x v="3"/>
    <x v="3"/>
    <n v="1878"/>
    <n v="62"/>
    <n v="179"/>
    <n v="37560"/>
    <n v="36874"/>
    <n v="142"/>
    <x v="0"/>
    <n v="5.64164004259851E-2"/>
    <n v="3.78061767838126E-3"/>
    <n v="2119"/>
    <x v="4"/>
    <x v="1"/>
    <d v="2024-08-01T00:00:00"/>
    <d v="2024-08-31T00:00:00"/>
  </r>
  <r>
    <x v="144"/>
    <x v="2"/>
    <d v="2024-08-12T00:00:00"/>
    <x v="3"/>
    <x v="3"/>
    <n v="1878"/>
    <n v="62"/>
    <n v="179"/>
    <n v="37560"/>
    <n v="36874"/>
    <n v="142"/>
    <x v="0"/>
    <n v="5.64164004259851E-2"/>
    <n v="3.78061767838126E-3"/>
    <n v="2119"/>
    <x v="3"/>
    <x v="1"/>
    <d v="2024-08-01T00:00:00"/>
    <d v="2024-08-31T00:00:00"/>
  </r>
  <r>
    <x v="145"/>
    <x v="1"/>
    <d v="2024-06-05T00:00:00"/>
    <x v="0"/>
    <x v="0"/>
    <n v="3065"/>
    <n v="772"/>
    <n v="142"/>
    <n v="18390"/>
    <n v="17875"/>
    <n v="200"/>
    <x v="0"/>
    <n v="0.21636759108211001"/>
    <n v="1.08754758020663E-2"/>
    <n v="3979"/>
    <x v="2"/>
    <x v="0"/>
    <d v="2024-08-01T00:00:00"/>
    <d v="2024-08-31T00:00:00"/>
  </r>
  <r>
    <x v="146"/>
    <x v="2"/>
    <d v="2024-10-21T00:00:00"/>
    <x v="0"/>
    <x v="0"/>
    <n v="3256"/>
    <n v="459"/>
    <n v="266"/>
    <n v="26048"/>
    <n v="25529"/>
    <n v="143"/>
    <x v="2"/>
    <n v="0.15283323095823101"/>
    <n v="5.48986486486486E-3"/>
    <n v="3981"/>
    <x v="0"/>
    <x v="1"/>
    <d v="2024-10-05T00:00:00"/>
    <d v="2024-11-05T00:00:00"/>
  </r>
  <r>
    <x v="146"/>
    <x v="2"/>
    <d v="2024-10-21T00:00:00"/>
    <x v="0"/>
    <x v="0"/>
    <n v="3256"/>
    <n v="459"/>
    <n v="266"/>
    <n v="26048"/>
    <n v="25529"/>
    <n v="143"/>
    <x v="2"/>
    <n v="0.15283323095823101"/>
    <n v="5.48986486486486E-3"/>
    <n v="3981"/>
    <x v="2"/>
    <x v="1"/>
    <d v="2024-10-05T00:00:00"/>
    <d v="2024-11-05T00:00:00"/>
  </r>
  <r>
    <x v="147"/>
    <x v="2"/>
    <d v="2025-04-15T00:00:00"/>
    <x v="5"/>
    <x v="5"/>
    <n v="4133"/>
    <n v="466"/>
    <n v="327"/>
    <n v="24798"/>
    <n v="24620"/>
    <n v="176"/>
    <x v="1"/>
    <n v="0.19864505202032401"/>
    <n v="7.0973465602064698E-3"/>
    <n v="4926"/>
    <x v="2"/>
    <x v="0"/>
    <d v="2024-06-10T00:00:00"/>
    <d v="2024-07-05T00:00:00"/>
  </r>
  <r>
    <x v="148"/>
    <x v="0"/>
    <d v="2024-06-16T00:00:00"/>
    <x v="5"/>
    <x v="5"/>
    <n v="1702"/>
    <n v="750"/>
    <n v="179"/>
    <n v="34040"/>
    <n v="33174"/>
    <n v="76"/>
    <x v="2"/>
    <n v="7.7291421856639203E-2"/>
    <n v="2.2326674500587501E-3"/>
    <n v="2631"/>
    <x v="3"/>
    <x v="0"/>
    <d v="2024-10-05T00:00:00"/>
    <d v="2024-11-05T00:00:00"/>
  </r>
  <r>
    <x v="149"/>
    <x v="1"/>
    <d v="2024-08-22T00:00:00"/>
    <x v="3"/>
    <x v="3"/>
    <n v="4295"/>
    <n v="853"/>
    <n v="325"/>
    <n v="85900"/>
    <n v="85788"/>
    <n v="290"/>
    <x v="1"/>
    <n v="6.3713620488940595E-2"/>
    <n v="3.3760186263096601E-3"/>
    <n v="5473"/>
    <x v="3"/>
    <x v="0"/>
    <d v="2024-06-10T00:00:00"/>
    <d v="2024-07-05T00:00:00"/>
  </r>
  <r>
    <x v="149"/>
    <x v="1"/>
    <d v="2024-08-22T00:00:00"/>
    <x v="3"/>
    <x v="3"/>
    <n v="4295"/>
    <n v="853"/>
    <n v="325"/>
    <n v="85900"/>
    <n v="85788"/>
    <n v="290"/>
    <x v="1"/>
    <n v="6.3713620488940595E-2"/>
    <n v="3.3760186263096601E-3"/>
    <n v="5473"/>
    <x v="0"/>
    <x v="0"/>
    <d v="2024-06-10T00:00:00"/>
    <d v="2024-07-05T00:00:00"/>
  </r>
  <r>
    <x v="150"/>
    <x v="2"/>
    <d v="2024-07-26T00:00:00"/>
    <x v="4"/>
    <x v="4"/>
    <n v="3559"/>
    <n v="59"/>
    <n v="289"/>
    <n v="35590"/>
    <n v="35105"/>
    <n v="122"/>
    <x v="2"/>
    <n v="0.109778027535825"/>
    <n v="3.4279291935937102E-3"/>
    <n v="3907"/>
    <x v="3"/>
    <x v="0"/>
    <d v="2024-10-05T00:00:00"/>
    <d v="2024-11-05T00:00:00"/>
  </r>
  <r>
    <x v="150"/>
    <x v="2"/>
    <d v="2024-07-26T00:00:00"/>
    <x v="4"/>
    <x v="4"/>
    <n v="3559"/>
    <n v="59"/>
    <n v="289"/>
    <n v="35590"/>
    <n v="35105"/>
    <n v="122"/>
    <x v="2"/>
    <n v="0.109778027535825"/>
    <n v="3.4279291935937102E-3"/>
    <n v="3907"/>
    <x v="2"/>
    <x v="0"/>
    <d v="2024-10-05T00:00:00"/>
    <d v="2024-11-05T00:00:00"/>
  </r>
  <r>
    <x v="151"/>
    <x v="3"/>
    <d v="2025-04-22T00:00:00"/>
    <x v="4"/>
    <x v="4"/>
    <n v="4804"/>
    <n v="550"/>
    <n v="270"/>
    <n v="28824"/>
    <n v="28370"/>
    <n v="47"/>
    <x v="3"/>
    <n v="0.19511518179295001"/>
    <n v="1.6305856230918699E-3"/>
    <n v="5624"/>
    <x v="0"/>
    <x v="0"/>
    <d v="2025-01-10T00:00:00"/>
    <d v="2025-02-10T00:00:00"/>
  </r>
  <r>
    <x v="151"/>
    <x v="3"/>
    <d v="2025-04-22T00:00:00"/>
    <x v="4"/>
    <x v="4"/>
    <n v="4804"/>
    <n v="550"/>
    <n v="270"/>
    <n v="28824"/>
    <n v="28370"/>
    <n v="47"/>
    <x v="3"/>
    <n v="0.19511518179295001"/>
    <n v="1.6305856230918699E-3"/>
    <n v="5624"/>
    <x v="2"/>
    <x v="0"/>
    <d v="2025-01-10T00:00:00"/>
    <d v="2025-02-10T00:00:00"/>
  </r>
  <r>
    <x v="152"/>
    <x v="0"/>
    <d v="2025-01-01T00:00:00"/>
    <x v="5"/>
    <x v="5"/>
    <n v="754"/>
    <n v="197"/>
    <n v="257"/>
    <n v="6786"/>
    <n v="6221"/>
    <n v="212"/>
    <x v="2"/>
    <n v="0.17801355732390201"/>
    <n v="3.12407898614795E-2"/>
    <n v="1208"/>
    <x v="4"/>
    <x v="0"/>
    <d v="2024-10-05T00:00:00"/>
    <d v="2024-11-05T00:00:00"/>
  </r>
  <r>
    <x v="152"/>
    <x v="0"/>
    <d v="2025-01-01T00:00:00"/>
    <x v="5"/>
    <x v="5"/>
    <n v="754"/>
    <n v="197"/>
    <n v="257"/>
    <n v="6786"/>
    <n v="6221"/>
    <n v="212"/>
    <x v="2"/>
    <n v="0.17801355732390201"/>
    <n v="3.12407898614795E-2"/>
    <n v="1208"/>
    <x v="3"/>
    <x v="0"/>
    <d v="2024-10-05T00:00:00"/>
    <d v="2024-11-05T00:00:00"/>
  </r>
  <r>
    <x v="153"/>
    <x v="2"/>
    <d v="2024-10-09T00:00:00"/>
    <x v="3"/>
    <x v="3"/>
    <n v="985"/>
    <n v="932"/>
    <n v="287"/>
    <n v="6895"/>
    <n v="6757"/>
    <n v="64"/>
    <x v="1"/>
    <n v="0.31965192168237899"/>
    <n v="9.2820884699057297E-3"/>
    <n v="2204"/>
    <x v="0"/>
    <x v="0"/>
    <d v="2024-06-10T00:00:00"/>
    <d v="2024-07-05T00:00:00"/>
  </r>
  <r>
    <x v="153"/>
    <x v="2"/>
    <d v="2024-10-09T00:00:00"/>
    <x v="3"/>
    <x v="3"/>
    <n v="985"/>
    <n v="932"/>
    <n v="287"/>
    <n v="6895"/>
    <n v="6757"/>
    <n v="64"/>
    <x v="1"/>
    <n v="0.31965192168237899"/>
    <n v="9.2820884699057297E-3"/>
    <n v="2204"/>
    <x v="1"/>
    <x v="0"/>
    <d v="2024-06-10T00:00:00"/>
    <d v="2024-07-05T00:00:00"/>
  </r>
  <r>
    <x v="154"/>
    <x v="1"/>
    <d v="2024-12-21T00:00:00"/>
    <x v="4"/>
    <x v="4"/>
    <n v="2283"/>
    <n v="210"/>
    <n v="130"/>
    <n v="22830"/>
    <n v="22617"/>
    <n v="143"/>
    <x v="2"/>
    <n v="0.11489268506351299"/>
    <n v="6.2636881296539602E-3"/>
    <n v="2623"/>
    <x v="1"/>
    <x v="0"/>
    <d v="2024-10-05T00:00:00"/>
    <d v="2024-11-05T00:00:00"/>
  </r>
  <r>
    <x v="154"/>
    <x v="1"/>
    <d v="2024-12-21T00:00:00"/>
    <x v="4"/>
    <x v="4"/>
    <n v="2283"/>
    <n v="210"/>
    <n v="130"/>
    <n v="22830"/>
    <n v="22617"/>
    <n v="143"/>
    <x v="2"/>
    <n v="0.11489268506351299"/>
    <n v="6.2636881296539602E-3"/>
    <n v="2623"/>
    <x v="2"/>
    <x v="0"/>
    <d v="2024-10-05T00:00:00"/>
    <d v="2024-11-05T00:00:00"/>
  </r>
  <r>
    <x v="155"/>
    <x v="3"/>
    <d v="2024-10-22T00:00:00"/>
    <x v="3"/>
    <x v="3"/>
    <n v="3352"/>
    <n v="941"/>
    <n v="482"/>
    <n v="43576"/>
    <n v="43338"/>
    <n v="240"/>
    <x v="2"/>
    <n v="0.109578667156233"/>
    <n v="5.5076188727740004E-3"/>
    <n v="4775"/>
    <x v="3"/>
    <x v="1"/>
    <d v="2024-10-05T00:00:00"/>
    <d v="2024-11-05T00:00:00"/>
  </r>
  <r>
    <x v="156"/>
    <x v="1"/>
    <d v="2024-07-23T00:00:00"/>
    <x v="2"/>
    <x v="2"/>
    <n v="4775"/>
    <n v="173"/>
    <n v="206"/>
    <n v="47750"/>
    <n v="47544"/>
    <n v="187"/>
    <x v="3"/>
    <n v="0.107937172774869"/>
    <n v="3.9162303664921497E-3"/>
    <n v="5154"/>
    <x v="2"/>
    <x v="0"/>
    <d v="2025-01-10T00:00:00"/>
    <d v="2025-02-10T00:00:00"/>
  </r>
  <r>
    <x v="156"/>
    <x v="1"/>
    <d v="2024-07-23T00:00:00"/>
    <x v="2"/>
    <x v="2"/>
    <n v="4775"/>
    <n v="173"/>
    <n v="206"/>
    <n v="47750"/>
    <n v="47544"/>
    <n v="187"/>
    <x v="3"/>
    <n v="0.107937172774869"/>
    <n v="3.9162303664921497E-3"/>
    <n v="5154"/>
    <x v="3"/>
    <x v="0"/>
    <d v="2025-01-10T00:00:00"/>
    <d v="2025-02-10T00:00:00"/>
  </r>
  <r>
    <x v="157"/>
    <x v="2"/>
    <d v="2024-08-11T00:00:00"/>
    <x v="2"/>
    <x v="2"/>
    <n v="1762"/>
    <n v="405"/>
    <n v="423"/>
    <n v="22906"/>
    <n v="21925"/>
    <n v="25"/>
    <x v="1"/>
    <n v="0.113070811141186"/>
    <n v="1.0914170959573899E-3"/>
    <n v="2590"/>
    <x v="4"/>
    <x v="0"/>
    <d v="2024-06-10T00:00:00"/>
    <d v="2024-07-05T00:00:00"/>
  </r>
  <r>
    <x v="158"/>
    <x v="3"/>
    <d v="2024-11-25T00:00:00"/>
    <x v="2"/>
    <x v="2"/>
    <n v="2120"/>
    <n v="158"/>
    <n v="488"/>
    <n v="12720"/>
    <n v="12085"/>
    <n v="17"/>
    <x v="1"/>
    <n v="0.217452830188679"/>
    <n v="1.3364779874213801E-3"/>
    <n v="2766"/>
    <x v="2"/>
    <x v="0"/>
    <d v="2024-06-10T00:00:00"/>
    <d v="2024-07-05T00:00:00"/>
  </r>
  <r>
    <x v="158"/>
    <x v="3"/>
    <d v="2024-11-25T00:00:00"/>
    <x v="2"/>
    <x v="2"/>
    <n v="2120"/>
    <n v="158"/>
    <n v="488"/>
    <n v="12720"/>
    <n v="12085"/>
    <n v="17"/>
    <x v="1"/>
    <n v="0.217452830188679"/>
    <n v="1.3364779874213801E-3"/>
    <n v="2766"/>
    <x v="3"/>
    <x v="0"/>
    <d v="2024-06-10T00:00:00"/>
    <d v="2024-07-05T00:00:00"/>
  </r>
  <r>
    <x v="159"/>
    <x v="0"/>
    <d v="2024-08-24T00:00:00"/>
    <x v="5"/>
    <x v="5"/>
    <n v="1082"/>
    <n v="209"/>
    <n v="484"/>
    <n v="19476"/>
    <n v="18654"/>
    <n v="20"/>
    <x v="3"/>
    <n v="9.1137810638734898E-2"/>
    <n v="1.0269049086054599E-3"/>
    <n v="1775"/>
    <x v="2"/>
    <x v="0"/>
    <d v="2025-01-10T00:00:00"/>
    <d v="2025-02-10T00:00:00"/>
  </r>
  <r>
    <x v="160"/>
    <x v="0"/>
    <d v="2025-02-19T00:00:00"/>
    <x v="1"/>
    <x v="1"/>
    <n v="4671"/>
    <n v="876"/>
    <n v="366"/>
    <n v="51381"/>
    <n v="50565"/>
    <n v="245"/>
    <x v="1"/>
    <n v="0.115081450341566"/>
    <n v="4.7682995659874298E-3"/>
    <n v="5913"/>
    <x v="0"/>
    <x v="0"/>
    <d v="2024-06-10T00:00:00"/>
    <d v="2024-07-05T00:00:00"/>
  </r>
  <r>
    <x v="161"/>
    <x v="3"/>
    <d v="2025-04-01T00:00:00"/>
    <x v="2"/>
    <x v="2"/>
    <n v="3430"/>
    <n v="566"/>
    <n v="164"/>
    <n v="48020"/>
    <n v="47305"/>
    <n v="120"/>
    <x v="1"/>
    <n v="8.6630570595585196E-2"/>
    <n v="2.49895876718034E-3"/>
    <n v="4160"/>
    <x v="3"/>
    <x v="0"/>
    <d v="2024-06-10T00:00:00"/>
    <d v="2024-07-05T00:00:00"/>
  </r>
  <r>
    <x v="162"/>
    <x v="2"/>
    <d v="2025-04-08T00:00:00"/>
    <x v="4"/>
    <x v="4"/>
    <n v="4501"/>
    <n v="375"/>
    <n v="323"/>
    <n v="22505"/>
    <n v="21836"/>
    <n v="132"/>
    <x v="3"/>
    <n v="0.231015329926683"/>
    <n v="5.8653632526105299E-3"/>
    <n v="5199"/>
    <x v="1"/>
    <x v="0"/>
    <d v="2025-01-10T00:00:00"/>
    <d v="2025-02-10T00:00:00"/>
  </r>
  <r>
    <x v="163"/>
    <x v="1"/>
    <d v="2025-02-27T00:00:00"/>
    <x v="1"/>
    <x v="1"/>
    <n v="4934"/>
    <n v="971"/>
    <n v="156"/>
    <n v="39472"/>
    <n v="39025"/>
    <n v="169"/>
    <x v="1"/>
    <n v="0.15355188488042201"/>
    <n v="4.2815160113498204E-3"/>
    <n v="6061"/>
    <x v="4"/>
    <x v="0"/>
    <d v="2024-06-10T00:00:00"/>
    <d v="2024-07-05T00:00:00"/>
  </r>
  <r>
    <x v="163"/>
    <x v="1"/>
    <d v="2025-02-27T00:00:00"/>
    <x v="1"/>
    <x v="1"/>
    <n v="4934"/>
    <n v="971"/>
    <n v="156"/>
    <n v="39472"/>
    <n v="39025"/>
    <n v="169"/>
    <x v="1"/>
    <n v="0.15355188488042201"/>
    <n v="4.2815160113498204E-3"/>
    <n v="6061"/>
    <x v="2"/>
    <x v="0"/>
    <d v="2024-06-10T00:00:00"/>
    <d v="2024-07-05T00:00:00"/>
  </r>
  <r>
    <x v="164"/>
    <x v="0"/>
    <d v="2024-12-11T00:00:00"/>
    <x v="1"/>
    <x v="1"/>
    <n v="3239"/>
    <n v="43"/>
    <n v="211"/>
    <n v="22673"/>
    <n v="22171"/>
    <n v="230"/>
    <x v="1"/>
    <n v="0.15405989502933001"/>
    <n v="1.0144224407886E-2"/>
    <n v="3493"/>
    <x v="3"/>
    <x v="0"/>
    <d v="2024-06-10T00:00:00"/>
    <d v="2024-07-05T00:00:00"/>
  </r>
  <r>
    <x v="164"/>
    <x v="0"/>
    <d v="2024-12-11T00:00:00"/>
    <x v="1"/>
    <x v="1"/>
    <n v="3239"/>
    <n v="43"/>
    <n v="211"/>
    <n v="22673"/>
    <n v="22171"/>
    <n v="230"/>
    <x v="1"/>
    <n v="0.15405989502933001"/>
    <n v="1.0144224407886E-2"/>
    <n v="3493"/>
    <x v="2"/>
    <x v="0"/>
    <d v="2024-06-10T00:00:00"/>
    <d v="2024-07-05T00:00:00"/>
  </r>
  <r>
    <x v="165"/>
    <x v="0"/>
    <d v="2025-02-16T00:00:00"/>
    <x v="0"/>
    <x v="0"/>
    <n v="1076"/>
    <n v="313"/>
    <n v="306"/>
    <n v="11836"/>
    <n v="11596"/>
    <n v="104"/>
    <x v="1"/>
    <n v="0.143207164582629"/>
    <n v="8.7867522811760704E-3"/>
    <n v="1695"/>
    <x v="4"/>
    <x v="0"/>
    <d v="2024-06-10T00:00:00"/>
    <d v="2024-07-05T00:00:00"/>
  </r>
  <r>
    <x v="166"/>
    <x v="2"/>
    <d v="2024-11-28T00:00:00"/>
    <x v="1"/>
    <x v="1"/>
    <n v="4771"/>
    <n v="818"/>
    <n v="56"/>
    <n v="57252"/>
    <n v="56378"/>
    <n v="150"/>
    <x v="1"/>
    <n v="9.8599175574652406E-2"/>
    <n v="2.6199958080067101E-3"/>
    <n v="5645"/>
    <x v="0"/>
    <x v="0"/>
    <d v="2024-06-10T00:00:00"/>
    <d v="2024-07-05T00:00:00"/>
  </r>
  <r>
    <x v="167"/>
    <x v="3"/>
    <d v="2024-11-12T00:00:00"/>
    <x v="1"/>
    <x v="1"/>
    <n v="2418"/>
    <n v="754"/>
    <n v="54"/>
    <n v="43524"/>
    <n v="42743"/>
    <n v="182"/>
    <x v="3"/>
    <n v="7.4120025732929001E-2"/>
    <n v="4.1816009557944997E-3"/>
    <n v="3226"/>
    <x v="1"/>
    <x v="0"/>
    <d v="2025-01-10T00:00:00"/>
    <d v="2025-02-10T00:00:00"/>
  </r>
  <r>
    <x v="167"/>
    <x v="3"/>
    <d v="2024-11-12T00:00:00"/>
    <x v="1"/>
    <x v="1"/>
    <n v="2418"/>
    <n v="754"/>
    <n v="54"/>
    <n v="43524"/>
    <n v="42743"/>
    <n v="182"/>
    <x v="3"/>
    <n v="7.4120025732929001E-2"/>
    <n v="4.1816009557944997E-3"/>
    <n v="3226"/>
    <x v="3"/>
    <x v="0"/>
    <d v="2025-01-10T00:00:00"/>
    <d v="2025-02-10T00:00:00"/>
  </r>
  <r>
    <x v="168"/>
    <x v="1"/>
    <d v="2024-12-03T00:00:00"/>
    <x v="5"/>
    <x v="5"/>
    <n v="3809"/>
    <n v="273"/>
    <n v="200"/>
    <n v="34281"/>
    <n v="33534"/>
    <n v="83"/>
    <x v="2"/>
    <n v="0.12490884163239099"/>
    <n v="2.4211662436918399E-3"/>
    <n v="4282"/>
    <x v="3"/>
    <x v="0"/>
    <d v="2024-10-05T00:00:00"/>
    <d v="2024-11-05T00:00:00"/>
  </r>
  <r>
    <x v="169"/>
    <x v="0"/>
    <d v="2025-04-28T00:00:00"/>
    <x v="1"/>
    <x v="1"/>
    <n v="3577"/>
    <n v="596"/>
    <n v="493"/>
    <n v="67963"/>
    <n v="67839"/>
    <n v="53"/>
    <x v="3"/>
    <n v="6.8655003457763805E-2"/>
    <n v="7.7983608728278604E-4"/>
    <n v="4666"/>
    <x v="2"/>
    <x v="0"/>
    <d v="2025-01-10T00:00:00"/>
    <d v="2025-02-10T00:00:00"/>
  </r>
  <r>
    <x v="169"/>
    <x v="0"/>
    <d v="2025-04-28T00:00:00"/>
    <x v="1"/>
    <x v="1"/>
    <n v="3577"/>
    <n v="596"/>
    <n v="493"/>
    <n v="67963"/>
    <n v="67839"/>
    <n v="53"/>
    <x v="3"/>
    <n v="6.8655003457763805E-2"/>
    <n v="7.7983608728278604E-4"/>
    <n v="4666"/>
    <x v="3"/>
    <x v="0"/>
    <d v="2025-01-10T00:00:00"/>
    <d v="2025-02-10T00:00:00"/>
  </r>
  <r>
    <x v="170"/>
    <x v="1"/>
    <d v="2024-12-31T00:00:00"/>
    <x v="5"/>
    <x v="5"/>
    <n v="1018"/>
    <n v="447"/>
    <n v="332"/>
    <n v="18324"/>
    <n v="18164"/>
    <n v="38"/>
    <x v="3"/>
    <n v="9.8068107400130999E-2"/>
    <n v="2.0737830168085598E-3"/>
    <n v="1797"/>
    <x v="0"/>
    <x v="2"/>
    <d v="2025-01-10T00:00:00"/>
    <d v="2025-02-10T00:00:00"/>
  </r>
  <r>
    <x v="170"/>
    <x v="1"/>
    <d v="2024-12-31T00:00:00"/>
    <x v="5"/>
    <x v="5"/>
    <n v="1018"/>
    <n v="447"/>
    <n v="332"/>
    <n v="18324"/>
    <n v="18164"/>
    <n v="38"/>
    <x v="3"/>
    <n v="9.8068107400130999E-2"/>
    <n v="2.0737830168085598E-3"/>
    <n v="1797"/>
    <x v="1"/>
    <x v="2"/>
    <d v="2025-01-10T00:00:00"/>
    <d v="2025-02-10T00:00:00"/>
  </r>
  <r>
    <x v="171"/>
    <x v="3"/>
    <d v="2024-08-14T00:00:00"/>
    <x v="3"/>
    <x v="3"/>
    <n v="3073"/>
    <n v="553"/>
    <n v="174"/>
    <n v="52241"/>
    <n v="51605"/>
    <n v="246"/>
    <x v="3"/>
    <n v="7.2739802071170201E-2"/>
    <n v="4.70894508144944E-3"/>
    <n v="3800"/>
    <x v="1"/>
    <x v="0"/>
    <d v="2025-01-10T00:00:00"/>
    <d v="2025-02-10T00:00:00"/>
  </r>
  <r>
    <x v="171"/>
    <x v="3"/>
    <d v="2024-08-14T00:00:00"/>
    <x v="3"/>
    <x v="3"/>
    <n v="3073"/>
    <n v="553"/>
    <n v="174"/>
    <n v="52241"/>
    <n v="51605"/>
    <n v="246"/>
    <x v="3"/>
    <n v="7.2739802071170201E-2"/>
    <n v="4.70894508144944E-3"/>
    <n v="3800"/>
    <x v="2"/>
    <x v="0"/>
    <d v="2025-01-10T00:00:00"/>
    <d v="2025-02-10T00:00:00"/>
  </r>
  <r>
    <x v="172"/>
    <x v="0"/>
    <d v="2024-12-05T00:00:00"/>
    <x v="5"/>
    <x v="5"/>
    <n v="1330"/>
    <n v="925"/>
    <n v="35"/>
    <n v="15960"/>
    <n v="15379"/>
    <n v="229"/>
    <x v="3"/>
    <n v="0.14348370927318299"/>
    <n v="1.4348370927318299E-2"/>
    <n v="2290"/>
    <x v="4"/>
    <x v="0"/>
    <d v="2025-01-10T00:00:00"/>
    <d v="2025-02-10T00:00:00"/>
  </r>
  <r>
    <x v="172"/>
    <x v="0"/>
    <d v="2024-12-05T00:00:00"/>
    <x v="5"/>
    <x v="5"/>
    <n v="1330"/>
    <n v="925"/>
    <n v="35"/>
    <n v="15960"/>
    <n v="15379"/>
    <n v="229"/>
    <x v="3"/>
    <n v="0.14348370927318299"/>
    <n v="1.4348370927318299E-2"/>
    <n v="2290"/>
    <x v="3"/>
    <x v="0"/>
    <d v="2025-01-10T00:00:00"/>
    <d v="2025-02-10T00:00:00"/>
  </r>
  <r>
    <x v="173"/>
    <x v="3"/>
    <d v="2024-06-22T00:00:00"/>
    <x v="1"/>
    <x v="1"/>
    <n v="3828"/>
    <n v="148"/>
    <n v="253"/>
    <n v="30624"/>
    <n v="30229"/>
    <n v="235"/>
    <x v="3"/>
    <n v="0.13809430512016699"/>
    <n v="7.6737199582027201E-3"/>
    <n v="4229"/>
    <x v="0"/>
    <x v="0"/>
    <d v="2025-01-10T00:00:00"/>
    <d v="2025-02-10T00:00:00"/>
  </r>
  <r>
    <x v="173"/>
    <x v="3"/>
    <d v="2024-06-22T00:00:00"/>
    <x v="1"/>
    <x v="1"/>
    <n v="3828"/>
    <n v="148"/>
    <n v="253"/>
    <n v="30624"/>
    <n v="30229"/>
    <n v="235"/>
    <x v="3"/>
    <n v="0.13809430512016699"/>
    <n v="7.6737199582027201E-3"/>
    <n v="4229"/>
    <x v="2"/>
    <x v="0"/>
    <d v="2025-01-10T00:00:00"/>
    <d v="2025-02-10T00:00:00"/>
  </r>
  <r>
    <x v="174"/>
    <x v="2"/>
    <d v="2025-01-17T00:00:00"/>
    <x v="0"/>
    <x v="0"/>
    <n v="142"/>
    <n v="784"/>
    <n v="183"/>
    <n v="1704"/>
    <n v="995"/>
    <n v="154"/>
    <x v="0"/>
    <n v="0.65082159624413205"/>
    <n v="9.0375586854460094E-2"/>
    <n v="1109"/>
    <x v="0"/>
    <x v="0"/>
    <d v="2024-08-01T00:00:00"/>
    <d v="2024-08-31T00:00:00"/>
  </r>
  <r>
    <x v="175"/>
    <x v="3"/>
    <d v="2024-06-20T00:00:00"/>
    <x v="5"/>
    <x v="5"/>
    <n v="3798"/>
    <n v="31"/>
    <n v="279"/>
    <n v="75960"/>
    <n v="75813"/>
    <n v="266"/>
    <x v="1"/>
    <n v="5.4081095313322801E-2"/>
    <n v="3.5018430753027902E-3"/>
    <n v="4108"/>
    <x v="1"/>
    <x v="1"/>
    <d v="2024-06-10T00:00:00"/>
    <d v="2024-07-05T00:00:00"/>
  </r>
  <r>
    <x v="176"/>
    <x v="2"/>
    <d v="2024-07-10T00:00:00"/>
    <x v="3"/>
    <x v="3"/>
    <n v="3099"/>
    <n v="694"/>
    <n v="171"/>
    <n v="43386"/>
    <n v="42921"/>
    <n v="52"/>
    <x v="3"/>
    <n v="9.1365878393951994E-2"/>
    <n v="1.1985433089014899E-3"/>
    <n v="3964"/>
    <x v="4"/>
    <x v="0"/>
    <d v="2025-01-10T00:00:00"/>
    <d v="2025-02-10T00:00:00"/>
  </r>
  <r>
    <x v="177"/>
    <x v="2"/>
    <d v="2024-11-07T00:00:00"/>
    <x v="5"/>
    <x v="5"/>
    <n v="129"/>
    <n v="643"/>
    <n v="136"/>
    <n v="1290"/>
    <n v="839"/>
    <n v="238"/>
    <x v="3"/>
    <n v="0.70387596899224802"/>
    <n v="0.18449612403100801"/>
    <n v="908"/>
    <x v="2"/>
    <x v="0"/>
    <d v="2025-01-10T00:00:00"/>
    <d v="2025-02-10T00:00:00"/>
  </r>
  <r>
    <x v="177"/>
    <x v="2"/>
    <d v="2024-11-07T00:00:00"/>
    <x v="5"/>
    <x v="5"/>
    <n v="129"/>
    <n v="643"/>
    <n v="136"/>
    <n v="1290"/>
    <n v="839"/>
    <n v="238"/>
    <x v="3"/>
    <n v="0.70387596899224802"/>
    <n v="0.18449612403100801"/>
    <n v="908"/>
    <x v="4"/>
    <x v="0"/>
    <d v="2025-01-10T00:00:00"/>
    <d v="2025-02-10T00:00:00"/>
  </r>
  <r>
    <x v="178"/>
    <x v="3"/>
    <d v="2024-07-15T00:00:00"/>
    <x v="3"/>
    <x v="3"/>
    <n v="3796"/>
    <n v="667"/>
    <n v="395"/>
    <n v="64532"/>
    <n v="63550"/>
    <n v="292"/>
    <x v="0"/>
    <n v="7.5280481001673602E-2"/>
    <n v="4.5248868778280599E-3"/>
    <n v="4858"/>
    <x v="2"/>
    <x v="0"/>
    <d v="2024-08-01T00:00:00"/>
    <d v="2024-08-31T00:00:00"/>
  </r>
  <r>
    <x v="179"/>
    <x v="1"/>
    <d v="2024-12-03T00:00:00"/>
    <x v="1"/>
    <x v="1"/>
    <n v="3711"/>
    <n v="352"/>
    <n v="290"/>
    <n v="48243"/>
    <n v="47579"/>
    <n v="11"/>
    <x v="3"/>
    <n v="9.0230707045581698E-2"/>
    <n v="2.2801235412391399E-4"/>
    <n v="4353"/>
    <x v="2"/>
    <x v="0"/>
    <d v="2025-01-10T00:00:00"/>
    <d v="2025-02-10T00:00:00"/>
  </r>
  <r>
    <x v="179"/>
    <x v="1"/>
    <d v="2024-12-03T00:00:00"/>
    <x v="1"/>
    <x v="1"/>
    <n v="3711"/>
    <n v="352"/>
    <n v="290"/>
    <n v="48243"/>
    <n v="47579"/>
    <n v="11"/>
    <x v="3"/>
    <n v="9.0230707045581698E-2"/>
    <n v="2.2801235412391399E-4"/>
    <n v="4353"/>
    <x v="4"/>
    <x v="0"/>
    <d v="2025-01-10T00:00:00"/>
    <d v="2025-02-10T00:00:00"/>
  </r>
  <r>
    <x v="180"/>
    <x v="1"/>
    <d v="2025-03-21T00:00:00"/>
    <x v="4"/>
    <x v="4"/>
    <n v="606"/>
    <n v="789"/>
    <n v="470"/>
    <n v="7878"/>
    <n v="7389"/>
    <n v="239"/>
    <x v="1"/>
    <n v="0.236735211982737"/>
    <n v="3.0337649149530299E-2"/>
    <n v="1865"/>
    <x v="0"/>
    <x v="0"/>
    <d v="2024-06-10T00:00:00"/>
    <d v="2024-07-05T00:00:00"/>
  </r>
  <r>
    <x v="181"/>
    <x v="3"/>
    <d v="2024-07-31T00:00:00"/>
    <x v="4"/>
    <x v="4"/>
    <n v="4689"/>
    <n v="134"/>
    <n v="403"/>
    <n v="51579"/>
    <n v="50924"/>
    <n v="173"/>
    <x v="0"/>
    <n v="0.101320304775199"/>
    <n v="3.3540782101242799E-3"/>
    <n v="5226"/>
    <x v="4"/>
    <x v="2"/>
    <d v="2024-08-01T00:00:00"/>
    <d v="2024-08-31T00:00:00"/>
  </r>
  <r>
    <x v="182"/>
    <x v="2"/>
    <d v="2024-12-17T00:00:00"/>
    <x v="2"/>
    <x v="2"/>
    <n v="360"/>
    <n v="590"/>
    <n v="393"/>
    <n v="4680"/>
    <n v="4322"/>
    <n v="208"/>
    <x v="1"/>
    <n v="0.286965811965812"/>
    <n v="4.4444444444444398E-2"/>
    <n v="1343"/>
    <x v="2"/>
    <x v="0"/>
    <d v="2024-06-10T00:00:00"/>
    <d v="2024-07-05T00:00:00"/>
  </r>
  <r>
    <x v="182"/>
    <x v="2"/>
    <d v="2024-12-17T00:00:00"/>
    <x v="2"/>
    <x v="2"/>
    <n v="360"/>
    <n v="590"/>
    <n v="393"/>
    <n v="4680"/>
    <n v="4322"/>
    <n v="208"/>
    <x v="1"/>
    <n v="0.286965811965812"/>
    <n v="4.4444444444444398E-2"/>
    <n v="1343"/>
    <x v="4"/>
    <x v="0"/>
    <d v="2024-06-10T00:00:00"/>
    <d v="2024-07-05T00:00:00"/>
  </r>
  <r>
    <x v="183"/>
    <x v="0"/>
    <d v="2024-07-28T00:00:00"/>
    <x v="4"/>
    <x v="4"/>
    <n v="3215"/>
    <n v="960"/>
    <n v="202"/>
    <n v="32150"/>
    <n v="31404"/>
    <n v="251"/>
    <x v="2"/>
    <n v="0.13614307931570799"/>
    <n v="7.8071539657853803E-3"/>
    <n v="4377"/>
    <x v="2"/>
    <x v="0"/>
    <d v="2024-10-05T00:00:00"/>
    <d v="2024-11-05T00:00:00"/>
  </r>
  <r>
    <x v="184"/>
    <x v="2"/>
    <d v="2025-01-11T00:00:00"/>
    <x v="3"/>
    <x v="3"/>
    <n v="4523"/>
    <n v="61"/>
    <n v="157"/>
    <n v="49753"/>
    <n v="49329"/>
    <n v="71"/>
    <x v="3"/>
    <n v="9.5290736237010801E-2"/>
    <n v="1.42704962514823E-3"/>
    <n v="4741"/>
    <x v="0"/>
    <x v="1"/>
    <d v="2025-01-10T00:00:00"/>
    <d v="2025-02-10T00:00:00"/>
  </r>
  <r>
    <x v="184"/>
    <x v="2"/>
    <d v="2025-01-11T00:00:00"/>
    <x v="3"/>
    <x v="3"/>
    <n v="4523"/>
    <n v="61"/>
    <n v="157"/>
    <n v="49753"/>
    <n v="49329"/>
    <n v="71"/>
    <x v="3"/>
    <n v="9.5290736237010801E-2"/>
    <n v="1.42704962514823E-3"/>
    <n v="4741"/>
    <x v="3"/>
    <x v="1"/>
    <d v="2025-01-10T00:00:00"/>
    <d v="2025-02-10T00:00:00"/>
  </r>
  <r>
    <x v="185"/>
    <x v="3"/>
    <d v="2024-08-24T00:00:00"/>
    <x v="3"/>
    <x v="3"/>
    <n v="4292"/>
    <n v="51"/>
    <n v="392"/>
    <n v="55796"/>
    <n v="54826"/>
    <n v="264"/>
    <x v="0"/>
    <n v="8.4862714173059003E-2"/>
    <n v="4.7315219729012802E-3"/>
    <n v="4735"/>
    <x v="3"/>
    <x v="1"/>
    <d v="2024-08-01T00:00:00"/>
    <d v="2024-08-31T00:00:00"/>
  </r>
  <r>
    <x v="185"/>
    <x v="3"/>
    <d v="2024-08-24T00:00:00"/>
    <x v="3"/>
    <x v="3"/>
    <n v="4292"/>
    <n v="51"/>
    <n v="392"/>
    <n v="55796"/>
    <n v="54826"/>
    <n v="264"/>
    <x v="0"/>
    <n v="8.4862714173059003E-2"/>
    <n v="4.7315219729012802E-3"/>
    <n v="4735"/>
    <x v="2"/>
    <x v="1"/>
    <d v="2024-08-01T00:00:00"/>
    <d v="2024-08-31T00:00:00"/>
  </r>
  <r>
    <x v="186"/>
    <x v="0"/>
    <d v="2024-12-22T00:00:00"/>
    <x v="0"/>
    <x v="0"/>
    <n v="1644"/>
    <n v="546"/>
    <n v="150"/>
    <n v="27948"/>
    <n v="27184"/>
    <n v="300"/>
    <x v="0"/>
    <n v="8.3726921425504502E-2"/>
    <n v="1.0734220695577499E-2"/>
    <n v="2340"/>
    <x v="0"/>
    <x v="0"/>
    <d v="2024-08-01T00:00:00"/>
    <d v="2024-08-31T00:00:00"/>
  </r>
  <r>
    <x v="186"/>
    <x v="0"/>
    <d v="2024-12-22T00:00:00"/>
    <x v="0"/>
    <x v="0"/>
    <n v="1644"/>
    <n v="546"/>
    <n v="150"/>
    <n v="27948"/>
    <n v="27184"/>
    <n v="300"/>
    <x v="0"/>
    <n v="8.3726921425504502E-2"/>
    <n v="1.0734220695577499E-2"/>
    <n v="2340"/>
    <x v="3"/>
    <x v="0"/>
    <d v="2024-08-01T00:00:00"/>
    <d v="2024-08-31T00:00:00"/>
  </r>
  <r>
    <x v="187"/>
    <x v="1"/>
    <d v="2024-06-06T00:00:00"/>
    <x v="0"/>
    <x v="0"/>
    <n v="2728"/>
    <n v="533"/>
    <n v="215"/>
    <n v="40920"/>
    <n v="40816"/>
    <n v="137"/>
    <x v="1"/>
    <n v="8.4946236559139798E-2"/>
    <n v="3.3479960899315698E-3"/>
    <n v="3476"/>
    <x v="0"/>
    <x v="2"/>
    <d v="2024-06-10T00:00:00"/>
    <d v="2024-07-05T00:00:00"/>
  </r>
  <r>
    <x v="188"/>
    <x v="3"/>
    <d v="2025-03-24T00:00:00"/>
    <x v="0"/>
    <x v="0"/>
    <n v="3360"/>
    <n v="525"/>
    <n v="500"/>
    <n v="60480"/>
    <n v="59610"/>
    <n v="192"/>
    <x v="0"/>
    <n v="7.2503306878306903E-2"/>
    <n v="3.1746031746031698E-3"/>
    <n v="4385"/>
    <x v="0"/>
    <x v="0"/>
    <d v="2024-08-01T00:00:00"/>
    <d v="2024-08-31T00:00:00"/>
  </r>
  <r>
    <x v="188"/>
    <x v="3"/>
    <d v="2025-03-24T00:00:00"/>
    <x v="0"/>
    <x v="0"/>
    <n v="3360"/>
    <n v="525"/>
    <n v="500"/>
    <n v="60480"/>
    <n v="59610"/>
    <n v="192"/>
    <x v="0"/>
    <n v="7.2503306878306903E-2"/>
    <n v="3.1746031746031698E-3"/>
    <n v="4385"/>
    <x v="2"/>
    <x v="0"/>
    <d v="2024-08-01T00:00:00"/>
    <d v="2024-08-31T00:00:00"/>
  </r>
  <r>
    <x v="189"/>
    <x v="1"/>
    <d v="2024-10-04T00:00:00"/>
    <x v="1"/>
    <x v="1"/>
    <n v="1963"/>
    <n v="213"/>
    <n v="19"/>
    <n v="39260"/>
    <n v="38771"/>
    <n v="145"/>
    <x v="0"/>
    <n v="5.5909322465613899E-2"/>
    <n v="3.69332654100866E-3"/>
    <n v="2195"/>
    <x v="2"/>
    <x v="0"/>
    <d v="2024-08-01T00:00:00"/>
    <d v="2024-08-31T00:00:00"/>
  </r>
  <r>
    <x v="190"/>
    <x v="1"/>
    <d v="2024-12-03T00:00:00"/>
    <x v="2"/>
    <x v="2"/>
    <n v="4285"/>
    <n v="886"/>
    <n v="376"/>
    <n v="55705"/>
    <n v="55556"/>
    <n v="51"/>
    <x v="3"/>
    <n v="9.9578134817341402E-2"/>
    <n v="9.1553720491876795E-4"/>
    <n v="5547"/>
    <x v="1"/>
    <x v="0"/>
    <d v="2025-01-10T00:00:00"/>
    <d v="2025-02-10T00:00:00"/>
  </r>
  <r>
    <x v="190"/>
    <x v="1"/>
    <d v="2024-12-03T00:00:00"/>
    <x v="2"/>
    <x v="2"/>
    <n v="4285"/>
    <n v="886"/>
    <n v="376"/>
    <n v="55705"/>
    <n v="55556"/>
    <n v="51"/>
    <x v="3"/>
    <n v="9.9578134817341402E-2"/>
    <n v="9.1553720491876795E-4"/>
    <n v="5547"/>
    <x v="4"/>
    <x v="0"/>
    <d v="2025-01-10T00:00:00"/>
    <d v="2025-02-10T00:00:00"/>
  </r>
  <r>
    <x v="191"/>
    <x v="2"/>
    <d v="2024-11-29T00:00:00"/>
    <x v="5"/>
    <x v="5"/>
    <n v="1176"/>
    <n v="464"/>
    <n v="394"/>
    <n v="14112"/>
    <n v="13588"/>
    <n v="272"/>
    <x v="0"/>
    <n v="0.144132653061224"/>
    <n v="1.9274376417233601E-2"/>
    <n v="2034"/>
    <x v="4"/>
    <x v="0"/>
    <d v="2024-08-01T00:00:00"/>
    <d v="2024-08-31T00:00:00"/>
  </r>
  <r>
    <x v="192"/>
    <x v="0"/>
    <d v="2024-09-11T00:00:00"/>
    <x v="4"/>
    <x v="4"/>
    <n v="4858"/>
    <n v="317"/>
    <n v="129"/>
    <n v="53438"/>
    <n v="52687"/>
    <n v="223"/>
    <x v="0"/>
    <n v="9.9255211647142502E-2"/>
    <n v="4.1730603690257901E-3"/>
    <n v="5304"/>
    <x v="4"/>
    <x v="0"/>
    <d v="2024-08-01T00:00:00"/>
    <d v="2024-08-31T00:00:00"/>
  </r>
  <r>
    <x v="192"/>
    <x v="0"/>
    <d v="2024-09-11T00:00:00"/>
    <x v="4"/>
    <x v="4"/>
    <n v="4858"/>
    <n v="317"/>
    <n v="129"/>
    <n v="53438"/>
    <n v="52687"/>
    <n v="223"/>
    <x v="0"/>
    <n v="9.9255211647142502E-2"/>
    <n v="4.1730603690257901E-3"/>
    <n v="5304"/>
    <x v="3"/>
    <x v="0"/>
    <d v="2024-08-01T00:00:00"/>
    <d v="2024-08-31T00:00:00"/>
  </r>
  <r>
    <x v="193"/>
    <x v="1"/>
    <d v="2024-10-02T00:00:00"/>
    <x v="2"/>
    <x v="2"/>
    <n v="4350"/>
    <n v="771"/>
    <n v="7"/>
    <n v="60900"/>
    <n v="60592"/>
    <n v="195"/>
    <x v="1"/>
    <n v="8.4203612479474596E-2"/>
    <n v="3.2019704433497499E-3"/>
    <n v="5128"/>
    <x v="4"/>
    <x v="0"/>
    <d v="2024-06-10T00:00:00"/>
    <d v="2024-07-05T00:00:00"/>
  </r>
  <r>
    <x v="193"/>
    <x v="1"/>
    <d v="2024-10-02T00:00:00"/>
    <x v="2"/>
    <x v="2"/>
    <n v="4350"/>
    <n v="771"/>
    <n v="7"/>
    <n v="60900"/>
    <n v="60592"/>
    <n v="195"/>
    <x v="1"/>
    <n v="8.4203612479474596E-2"/>
    <n v="3.2019704433497499E-3"/>
    <n v="5128"/>
    <x v="2"/>
    <x v="0"/>
    <d v="2024-06-10T00:00:00"/>
    <d v="2024-07-05T00:00:00"/>
  </r>
  <r>
    <x v="194"/>
    <x v="2"/>
    <d v="2024-08-15T00:00:00"/>
    <x v="3"/>
    <x v="3"/>
    <n v="914"/>
    <n v="464"/>
    <n v="246"/>
    <n v="11882"/>
    <n v="11500"/>
    <n v="282"/>
    <x v="2"/>
    <n v="0.13667732704931801"/>
    <n v="2.3733378219154999E-2"/>
    <n v="1624"/>
    <x v="1"/>
    <x v="0"/>
    <d v="2024-10-05T00:00:00"/>
    <d v="2024-11-05T00:00:00"/>
  </r>
  <r>
    <x v="194"/>
    <x v="2"/>
    <d v="2024-08-15T00:00:00"/>
    <x v="3"/>
    <x v="3"/>
    <n v="914"/>
    <n v="464"/>
    <n v="246"/>
    <n v="11882"/>
    <n v="11500"/>
    <n v="282"/>
    <x v="2"/>
    <n v="0.13667732704931801"/>
    <n v="2.3733378219154999E-2"/>
    <n v="1624"/>
    <x v="3"/>
    <x v="0"/>
    <d v="2024-10-05T00:00:00"/>
    <d v="2024-11-05T00:00:00"/>
  </r>
  <r>
    <x v="195"/>
    <x v="2"/>
    <d v="2024-12-19T00:00:00"/>
    <x v="1"/>
    <x v="1"/>
    <n v="1813"/>
    <n v="623"/>
    <n v="72"/>
    <n v="19943"/>
    <n v="18959"/>
    <n v="85"/>
    <x v="2"/>
    <n v="0.12575841147269701"/>
    <n v="4.2621471192899798E-3"/>
    <n v="2508"/>
    <x v="3"/>
    <x v="0"/>
    <d v="2024-10-05T00:00:00"/>
    <d v="2024-11-05T00:00:00"/>
  </r>
  <r>
    <x v="195"/>
    <x v="2"/>
    <d v="2024-12-19T00:00:00"/>
    <x v="1"/>
    <x v="1"/>
    <n v="1813"/>
    <n v="623"/>
    <n v="72"/>
    <n v="19943"/>
    <n v="18959"/>
    <n v="85"/>
    <x v="2"/>
    <n v="0.12575841147269701"/>
    <n v="4.2621471192899798E-3"/>
    <n v="2508"/>
    <x v="1"/>
    <x v="0"/>
    <d v="2024-10-05T00:00:00"/>
    <d v="2024-11-05T00:00:00"/>
  </r>
  <r>
    <x v="196"/>
    <x v="0"/>
    <d v="2024-10-22T00:00:00"/>
    <x v="0"/>
    <x v="0"/>
    <n v="4782"/>
    <n v="721"/>
    <n v="82"/>
    <n v="86076"/>
    <n v="85339"/>
    <n v="19"/>
    <x v="1"/>
    <n v="6.4884520656164305E-2"/>
    <n v="2.20735164273433E-4"/>
    <n v="5585"/>
    <x v="4"/>
    <x v="0"/>
    <d v="2024-06-10T00:00:00"/>
    <d v="2024-07-05T00:00:00"/>
  </r>
  <r>
    <x v="197"/>
    <x v="0"/>
    <d v="2024-09-14T00:00:00"/>
    <x v="4"/>
    <x v="4"/>
    <n v="1048"/>
    <n v="374"/>
    <n v="450"/>
    <n v="9432"/>
    <n v="8882"/>
    <n v="158"/>
    <x v="1"/>
    <n v="0.19847328244274801"/>
    <n v="1.67514843087362E-2"/>
    <n v="1872"/>
    <x v="3"/>
    <x v="0"/>
    <d v="2024-06-10T00:00:00"/>
    <d v="2024-07-05T00:00:00"/>
  </r>
  <r>
    <x v="197"/>
    <x v="0"/>
    <d v="2024-09-14T00:00:00"/>
    <x v="4"/>
    <x v="4"/>
    <n v="1048"/>
    <n v="374"/>
    <n v="450"/>
    <n v="9432"/>
    <n v="8882"/>
    <n v="158"/>
    <x v="1"/>
    <n v="0.19847328244274801"/>
    <n v="1.67514843087362E-2"/>
    <n v="1872"/>
    <x v="0"/>
    <x v="0"/>
    <d v="2024-06-10T00:00:00"/>
    <d v="2024-07-05T00:00:00"/>
  </r>
  <r>
    <x v="198"/>
    <x v="1"/>
    <d v="2024-11-30T00:00:00"/>
    <x v="3"/>
    <x v="3"/>
    <n v="2509"/>
    <n v="324"/>
    <n v="171"/>
    <n v="35126"/>
    <n v="34685"/>
    <n v="277"/>
    <x v="1"/>
    <n v="8.5520696919660605E-2"/>
    <n v="7.8858964869327596E-3"/>
    <n v="3004"/>
    <x v="4"/>
    <x v="0"/>
    <d v="2024-06-10T00:00:00"/>
    <d v="2024-07-05T00:00:00"/>
  </r>
  <r>
    <x v="199"/>
    <x v="3"/>
    <d v="2025-04-07T00:00:00"/>
    <x v="0"/>
    <x v="0"/>
    <n v="3718"/>
    <n v="385"/>
    <n v="310"/>
    <n v="70642"/>
    <n v="69749"/>
    <n v="233"/>
    <x v="0"/>
    <n v="6.2469918745222397E-2"/>
    <n v="3.2983211120862898E-3"/>
    <n v="4413"/>
    <x v="3"/>
    <x v="0"/>
    <d v="2024-08-01T00:00:00"/>
    <d v="2024-08-31T00:00:00"/>
  </r>
  <r>
    <x v="200"/>
    <x v="0"/>
    <d v="2025-01-15T00:00:00"/>
    <x v="0"/>
    <x v="0"/>
    <n v="802"/>
    <n v="262"/>
    <n v="244"/>
    <n v="14436"/>
    <n v="14280"/>
    <n v="49"/>
    <x v="3"/>
    <n v="9.0606816292601797E-2"/>
    <n v="3.3942920476586298E-3"/>
    <n v="1308"/>
    <x v="0"/>
    <x v="1"/>
    <d v="2025-01-10T00:00:00"/>
    <d v="2025-02-10T00:00:00"/>
  </r>
  <r>
    <x v="200"/>
    <x v="0"/>
    <d v="2025-01-15T00:00:00"/>
    <x v="0"/>
    <x v="0"/>
    <n v="802"/>
    <n v="262"/>
    <n v="244"/>
    <n v="14436"/>
    <n v="14280"/>
    <n v="49"/>
    <x v="3"/>
    <n v="9.0606816292601797E-2"/>
    <n v="3.3942920476586298E-3"/>
    <n v="1308"/>
    <x v="4"/>
    <x v="1"/>
    <d v="2025-01-10T00:00:00"/>
    <d v="2025-02-10T00:00:00"/>
  </r>
  <r>
    <x v="201"/>
    <x v="3"/>
    <d v="2024-06-02T00:00:00"/>
    <x v="4"/>
    <x v="4"/>
    <n v="1871"/>
    <n v="252"/>
    <n v="335"/>
    <n v="29936"/>
    <n v="29576"/>
    <n v="288"/>
    <x v="1"/>
    <n v="8.2108498129342594E-2"/>
    <n v="9.6205237840726893E-3"/>
    <n v="2458"/>
    <x v="3"/>
    <x v="2"/>
    <d v="2024-06-10T00:00:00"/>
    <d v="2024-07-05T00:00:00"/>
  </r>
  <r>
    <x v="202"/>
    <x v="2"/>
    <d v="2024-11-21T00:00:00"/>
    <x v="3"/>
    <x v="3"/>
    <n v="3773"/>
    <n v="299"/>
    <n v="38"/>
    <n v="71687"/>
    <n v="71447"/>
    <n v="286"/>
    <x v="3"/>
    <n v="5.7332570758993999E-2"/>
    <n v="3.98956575111248E-3"/>
    <n v="4110"/>
    <x v="3"/>
    <x v="0"/>
    <d v="2025-01-10T00:00:00"/>
    <d v="2025-02-10T00:00:00"/>
  </r>
  <r>
    <x v="203"/>
    <x v="2"/>
    <d v="2025-01-01T00:00:00"/>
    <x v="3"/>
    <x v="3"/>
    <n v="2234"/>
    <n v="653"/>
    <n v="432"/>
    <n v="11170"/>
    <n v="10569"/>
    <n v="198"/>
    <x v="3"/>
    <n v="0.297135183527305"/>
    <n v="1.7726051924798598E-2"/>
    <n v="3319"/>
    <x v="4"/>
    <x v="2"/>
    <d v="2025-01-10T00:00:00"/>
    <d v="2025-02-10T00:00:00"/>
  </r>
  <r>
    <x v="203"/>
    <x v="2"/>
    <d v="2025-01-01T00:00:00"/>
    <x v="3"/>
    <x v="3"/>
    <n v="2234"/>
    <n v="653"/>
    <n v="432"/>
    <n v="11170"/>
    <n v="10569"/>
    <n v="198"/>
    <x v="3"/>
    <n v="0.297135183527305"/>
    <n v="1.7726051924798598E-2"/>
    <n v="3319"/>
    <x v="2"/>
    <x v="2"/>
    <d v="2025-01-10T00:00:00"/>
    <d v="2025-02-10T00:00:00"/>
  </r>
  <r>
    <x v="204"/>
    <x v="0"/>
    <d v="2025-04-24T00:00:00"/>
    <x v="5"/>
    <x v="5"/>
    <n v="3820"/>
    <n v="697"/>
    <n v="268"/>
    <n v="45840"/>
    <n v="45631"/>
    <n v="171"/>
    <x v="0"/>
    <n v="0.104384816753927"/>
    <n v="3.7303664921466001E-3"/>
    <n v="4785"/>
    <x v="2"/>
    <x v="0"/>
    <d v="2024-08-01T00:00:00"/>
    <d v="2024-08-31T00:00:00"/>
  </r>
  <r>
    <x v="204"/>
    <x v="0"/>
    <d v="2025-04-24T00:00:00"/>
    <x v="5"/>
    <x v="5"/>
    <n v="3820"/>
    <n v="697"/>
    <n v="268"/>
    <n v="45840"/>
    <n v="45631"/>
    <n v="171"/>
    <x v="0"/>
    <n v="0.104384816753927"/>
    <n v="3.7303664921466001E-3"/>
    <n v="4785"/>
    <x v="4"/>
    <x v="0"/>
    <d v="2024-08-01T00:00:00"/>
    <d v="2024-08-31T00:00:00"/>
  </r>
  <r>
    <x v="205"/>
    <x v="0"/>
    <d v="2024-06-24T00:00:00"/>
    <x v="1"/>
    <x v="1"/>
    <n v="941"/>
    <n v="121"/>
    <n v="458"/>
    <n v="14115"/>
    <n v="13838"/>
    <n v="87"/>
    <x v="1"/>
    <n v="0.10768685795253299"/>
    <n v="6.1636556854410196E-3"/>
    <n v="1520"/>
    <x v="1"/>
    <x v="1"/>
    <d v="2024-06-10T00:00:00"/>
    <d v="2024-07-05T00:00:00"/>
  </r>
  <r>
    <x v="205"/>
    <x v="0"/>
    <d v="2024-06-24T00:00:00"/>
    <x v="1"/>
    <x v="1"/>
    <n v="941"/>
    <n v="121"/>
    <n v="458"/>
    <n v="14115"/>
    <n v="13838"/>
    <n v="87"/>
    <x v="1"/>
    <n v="0.10768685795253299"/>
    <n v="6.1636556854410196E-3"/>
    <n v="1520"/>
    <x v="0"/>
    <x v="1"/>
    <d v="2024-06-10T00:00:00"/>
    <d v="2024-07-05T00:00:00"/>
  </r>
  <r>
    <x v="206"/>
    <x v="0"/>
    <d v="2024-12-29T00:00:00"/>
    <x v="3"/>
    <x v="3"/>
    <n v="4274"/>
    <n v="340"/>
    <n v="281"/>
    <n v="34192"/>
    <n v="33446"/>
    <n v="129"/>
    <x v="2"/>
    <n v="0.14316214319139001"/>
    <n v="3.7728123537669601E-3"/>
    <n v="4895"/>
    <x v="2"/>
    <x v="0"/>
    <d v="2024-10-05T00:00:00"/>
    <d v="2024-11-05T00:00:00"/>
  </r>
  <r>
    <x v="206"/>
    <x v="0"/>
    <d v="2024-12-29T00:00:00"/>
    <x v="3"/>
    <x v="3"/>
    <n v="4274"/>
    <n v="340"/>
    <n v="281"/>
    <n v="34192"/>
    <n v="33446"/>
    <n v="129"/>
    <x v="2"/>
    <n v="0.14316214319139001"/>
    <n v="3.7728123537669601E-3"/>
    <n v="4895"/>
    <x v="4"/>
    <x v="0"/>
    <d v="2024-10-05T00:00:00"/>
    <d v="2024-11-05T00:00:00"/>
  </r>
  <r>
    <x v="207"/>
    <x v="1"/>
    <d v="2024-06-24T00:00:00"/>
    <x v="5"/>
    <x v="5"/>
    <n v="2949"/>
    <n v="476"/>
    <n v="403"/>
    <n v="44235"/>
    <n v="43705"/>
    <n v="135"/>
    <x v="0"/>
    <n v="8.6537809426924406E-2"/>
    <n v="3.0518819938962398E-3"/>
    <n v="3828"/>
    <x v="3"/>
    <x v="0"/>
    <d v="2024-08-01T00:00:00"/>
    <d v="2024-08-31T00:00:00"/>
  </r>
  <r>
    <x v="207"/>
    <x v="1"/>
    <d v="2024-06-24T00:00:00"/>
    <x v="5"/>
    <x v="5"/>
    <n v="2949"/>
    <n v="476"/>
    <n v="403"/>
    <n v="44235"/>
    <n v="43705"/>
    <n v="135"/>
    <x v="0"/>
    <n v="8.6537809426924406E-2"/>
    <n v="3.0518819938962398E-3"/>
    <n v="3828"/>
    <x v="4"/>
    <x v="0"/>
    <d v="2024-08-01T00:00:00"/>
    <d v="2024-08-31T00:00:00"/>
  </r>
  <r>
    <x v="208"/>
    <x v="0"/>
    <d v="2025-03-19T00:00:00"/>
    <x v="5"/>
    <x v="5"/>
    <n v="3160"/>
    <n v="204"/>
    <n v="297"/>
    <n v="44240"/>
    <n v="43666"/>
    <n v="49"/>
    <x v="0"/>
    <n v="8.2753164556961994E-2"/>
    <n v="1.1075949367088599E-3"/>
    <n v="3661"/>
    <x v="2"/>
    <x v="0"/>
    <d v="2024-08-01T00:00:00"/>
    <d v="2024-08-31T00:00:00"/>
  </r>
  <r>
    <x v="208"/>
    <x v="0"/>
    <d v="2025-03-19T00:00:00"/>
    <x v="5"/>
    <x v="5"/>
    <n v="3160"/>
    <n v="204"/>
    <n v="297"/>
    <n v="44240"/>
    <n v="43666"/>
    <n v="49"/>
    <x v="0"/>
    <n v="8.2753164556961994E-2"/>
    <n v="1.1075949367088599E-3"/>
    <n v="3661"/>
    <x v="3"/>
    <x v="0"/>
    <d v="2024-08-01T00:00:00"/>
    <d v="2024-08-31T00:00:00"/>
  </r>
  <r>
    <x v="209"/>
    <x v="1"/>
    <d v="2025-02-19T00:00:00"/>
    <x v="4"/>
    <x v="4"/>
    <n v="257"/>
    <n v="966"/>
    <n v="398"/>
    <n v="3341"/>
    <n v="2753"/>
    <n v="287"/>
    <x v="0"/>
    <n v="0.485184076623765"/>
    <n v="8.5902424423825202E-2"/>
    <n v="1621"/>
    <x v="3"/>
    <x v="0"/>
    <d v="2024-08-01T00:00:00"/>
    <d v="2024-08-31T00:00:00"/>
  </r>
  <r>
    <x v="209"/>
    <x v="1"/>
    <d v="2025-02-19T00:00:00"/>
    <x v="4"/>
    <x v="4"/>
    <n v="257"/>
    <n v="966"/>
    <n v="398"/>
    <n v="3341"/>
    <n v="2753"/>
    <n v="287"/>
    <x v="0"/>
    <n v="0.485184076623765"/>
    <n v="8.5902424423825202E-2"/>
    <n v="1621"/>
    <x v="0"/>
    <x v="0"/>
    <d v="2024-08-01T00:00:00"/>
    <d v="2024-08-31T00:00:00"/>
  </r>
  <r>
    <x v="210"/>
    <x v="0"/>
    <d v="2024-07-18T00:00:00"/>
    <x v="3"/>
    <x v="3"/>
    <n v="2120"/>
    <n v="38"/>
    <n v="212"/>
    <n v="12720"/>
    <n v="12564"/>
    <n v="21"/>
    <x v="0"/>
    <n v="0.18632075471698101"/>
    <n v="1.6509433962264199E-3"/>
    <n v="2370"/>
    <x v="3"/>
    <x v="2"/>
    <d v="2024-08-01T00:00:00"/>
    <d v="2024-08-31T00:00:00"/>
  </r>
  <r>
    <x v="210"/>
    <x v="0"/>
    <d v="2024-07-18T00:00:00"/>
    <x v="3"/>
    <x v="3"/>
    <n v="2120"/>
    <n v="38"/>
    <n v="212"/>
    <n v="12720"/>
    <n v="12564"/>
    <n v="21"/>
    <x v="0"/>
    <n v="0.18632075471698101"/>
    <n v="1.6509433962264199E-3"/>
    <n v="2370"/>
    <x v="0"/>
    <x v="2"/>
    <d v="2024-08-01T00:00:00"/>
    <d v="2024-08-31T00:00:00"/>
  </r>
  <r>
    <x v="211"/>
    <x v="1"/>
    <d v="2025-03-03T00:00:00"/>
    <x v="5"/>
    <x v="5"/>
    <n v="3874"/>
    <n v="884"/>
    <n v="19"/>
    <n v="38740"/>
    <n v="38552"/>
    <n v="219"/>
    <x v="3"/>
    <n v="0.123309241094476"/>
    <n v="5.6530717604543097E-3"/>
    <n v="4777"/>
    <x v="2"/>
    <x v="0"/>
    <d v="2025-01-10T00:00:00"/>
    <d v="2025-02-10T00:00:00"/>
  </r>
  <r>
    <x v="212"/>
    <x v="3"/>
    <d v="2025-05-01T00:00:00"/>
    <x v="3"/>
    <x v="3"/>
    <n v="2696"/>
    <n v="628"/>
    <n v="443"/>
    <n v="45832"/>
    <n v="45632"/>
    <n v="248"/>
    <x v="2"/>
    <n v="8.21914819340199E-2"/>
    <n v="5.4110665037528398E-3"/>
    <n v="3767"/>
    <x v="0"/>
    <x v="0"/>
    <d v="2024-10-05T00:00:00"/>
    <d v="2024-11-05T00:00:00"/>
  </r>
  <r>
    <x v="213"/>
    <x v="2"/>
    <d v="2024-12-23T00:00:00"/>
    <x v="4"/>
    <x v="4"/>
    <n v="521"/>
    <n v="746"/>
    <n v="315"/>
    <n v="4168"/>
    <n v="3399"/>
    <n v="282"/>
    <x v="0"/>
    <n v="0.379558541266795"/>
    <n v="6.7658349328215003E-2"/>
    <n v="1582"/>
    <x v="0"/>
    <x v="0"/>
    <d v="2024-08-01T00:00:00"/>
    <d v="2024-08-31T00:00:00"/>
  </r>
  <r>
    <x v="214"/>
    <x v="3"/>
    <d v="2025-05-06T00:00:00"/>
    <x v="4"/>
    <x v="4"/>
    <n v="4872"/>
    <n v="925"/>
    <n v="176"/>
    <n v="82824"/>
    <n v="82543"/>
    <n v="89"/>
    <x v="0"/>
    <n v="7.2116777745581007E-2"/>
    <n v="1.0745677581377401E-3"/>
    <n v="5973"/>
    <x v="0"/>
    <x v="0"/>
    <d v="2024-08-01T00:00:00"/>
    <d v="2024-08-31T00:00:00"/>
  </r>
  <r>
    <x v="214"/>
    <x v="3"/>
    <d v="2025-05-06T00:00:00"/>
    <x v="4"/>
    <x v="4"/>
    <n v="4872"/>
    <n v="925"/>
    <n v="176"/>
    <n v="82824"/>
    <n v="82543"/>
    <n v="89"/>
    <x v="0"/>
    <n v="7.2116777745581007E-2"/>
    <n v="1.0745677581377401E-3"/>
    <n v="5973"/>
    <x v="3"/>
    <x v="0"/>
    <d v="2024-08-01T00:00:00"/>
    <d v="2024-08-31T00:00:00"/>
  </r>
  <r>
    <x v="215"/>
    <x v="1"/>
    <d v="2024-07-29T00:00:00"/>
    <x v="2"/>
    <x v="2"/>
    <n v="1509"/>
    <n v="88"/>
    <n v="163"/>
    <n v="30180"/>
    <n v="29689"/>
    <n v="119"/>
    <x v="0"/>
    <n v="5.8316766070245198E-2"/>
    <n v="3.9430086149768104E-3"/>
    <n v="1760"/>
    <x v="3"/>
    <x v="2"/>
    <d v="2024-08-01T00:00:00"/>
    <d v="2024-08-31T00:00:00"/>
  </r>
  <r>
    <x v="216"/>
    <x v="3"/>
    <d v="2024-12-03T00:00:00"/>
    <x v="4"/>
    <x v="4"/>
    <n v="4606"/>
    <n v="931"/>
    <n v="230"/>
    <n v="92120"/>
    <n v="91440"/>
    <n v="56"/>
    <x v="2"/>
    <n v="6.2603126356925803E-2"/>
    <n v="6.0790273556230996E-4"/>
    <n v="5767"/>
    <x v="4"/>
    <x v="0"/>
    <d v="2024-10-05T00:00:00"/>
    <d v="2024-11-05T00:00:00"/>
  </r>
  <r>
    <x v="216"/>
    <x v="3"/>
    <d v="2024-12-03T00:00:00"/>
    <x v="4"/>
    <x v="4"/>
    <n v="4606"/>
    <n v="931"/>
    <n v="230"/>
    <n v="92120"/>
    <n v="91440"/>
    <n v="56"/>
    <x v="2"/>
    <n v="6.2603126356925803E-2"/>
    <n v="6.0790273556230996E-4"/>
    <n v="5767"/>
    <x v="1"/>
    <x v="0"/>
    <d v="2024-10-05T00:00:00"/>
    <d v="2024-11-05T00:00:00"/>
  </r>
  <r>
    <x v="217"/>
    <x v="3"/>
    <d v="2024-06-11T00:00:00"/>
    <x v="3"/>
    <x v="3"/>
    <n v="1869"/>
    <n v="453"/>
    <n v="490"/>
    <n v="14952"/>
    <n v="14309"/>
    <n v="275"/>
    <x v="0"/>
    <n v="0.18806848582129501"/>
    <n v="1.83921883360086E-2"/>
    <n v="2812"/>
    <x v="4"/>
    <x v="0"/>
    <d v="2024-08-01T00:00:00"/>
    <d v="2024-08-31T00:00:00"/>
  </r>
  <r>
    <x v="217"/>
    <x v="3"/>
    <d v="2024-06-11T00:00:00"/>
    <x v="3"/>
    <x v="3"/>
    <n v="1869"/>
    <n v="453"/>
    <n v="490"/>
    <n v="14952"/>
    <n v="14309"/>
    <n v="275"/>
    <x v="0"/>
    <n v="0.18806848582129501"/>
    <n v="1.83921883360086E-2"/>
    <n v="2812"/>
    <x v="2"/>
    <x v="0"/>
    <d v="2024-08-01T00:00:00"/>
    <d v="2024-08-31T00:00:00"/>
  </r>
  <r>
    <x v="218"/>
    <x v="0"/>
    <d v="2025-01-28T00:00:00"/>
    <x v="0"/>
    <x v="0"/>
    <n v="1188"/>
    <n v="470"/>
    <n v="174"/>
    <n v="7128"/>
    <n v="6145"/>
    <n v="270"/>
    <x v="1"/>
    <n v="0.25701459034792401"/>
    <n v="3.7878787878787901E-2"/>
    <n v="1832"/>
    <x v="2"/>
    <x v="0"/>
    <d v="2024-06-10T00:00:00"/>
    <d v="2024-07-05T00:00:00"/>
  </r>
  <r>
    <x v="218"/>
    <x v="0"/>
    <d v="2025-01-28T00:00:00"/>
    <x v="0"/>
    <x v="0"/>
    <n v="1188"/>
    <n v="470"/>
    <n v="174"/>
    <n v="7128"/>
    <n v="6145"/>
    <n v="270"/>
    <x v="1"/>
    <n v="0.25701459034792401"/>
    <n v="3.7878787878787901E-2"/>
    <n v="1832"/>
    <x v="1"/>
    <x v="0"/>
    <d v="2024-06-10T00:00:00"/>
    <d v="2024-07-05T00:00:00"/>
  </r>
  <r>
    <x v="219"/>
    <x v="2"/>
    <d v="2024-06-02T00:00:00"/>
    <x v="2"/>
    <x v="2"/>
    <n v="84"/>
    <n v="897"/>
    <n v="85"/>
    <n v="588"/>
    <n v="8"/>
    <n v="12"/>
    <x v="1"/>
    <n v="1.81292517006803"/>
    <n v="2.04081632653061E-2"/>
    <n v="1066"/>
    <x v="2"/>
    <x v="2"/>
    <d v="2024-06-10T00:00:00"/>
    <d v="2024-07-05T00:00:00"/>
  </r>
  <r>
    <x v="220"/>
    <x v="3"/>
    <d v="2025-03-23T00:00:00"/>
    <x v="5"/>
    <x v="5"/>
    <n v="4453"/>
    <n v="111"/>
    <n v="420"/>
    <n v="31171"/>
    <n v="30565"/>
    <n v="23"/>
    <x v="3"/>
    <n v="0.15989220750056099"/>
    <n v="7.3786532353790403E-4"/>
    <n v="4984"/>
    <x v="3"/>
    <x v="0"/>
    <d v="2025-01-10T00:00:00"/>
    <d v="2025-02-10T00:00:00"/>
  </r>
  <r>
    <x v="220"/>
    <x v="3"/>
    <d v="2025-03-23T00:00:00"/>
    <x v="5"/>
    <x v="5"/>
    <n v="4453"/>
    <n v="111"/>
    <n v="420"/>
    <n v="31171"/>
    <n v="30565"/>
    <n v="23"/>
    <x v="3"/>
    <n v="0.15989220750056099"/>
    <n v="7.3786532353790403E-4"/>
    <n v="4984"/>
    <x v="1"/>
    <x v="0"/>
    <d v="2025-01-10T00:00:00"/>
    <d v="2025-02-10T00:00:00"/>
  </r>
  <r>
    <x v="221"/>
    <x v="3"/>
    <d v="2024-10-08T00:00:00"/>
    <x v="0"/>
    <x v="0"/>
    <n v="1814"/>
    <n v="653"/>
    <n v="363"/>
    <n v="25396"/>
    <n v="25286"/>
    <n v="39"/>
    <x v="0"/>
    <n v="0.11143487163332801"/>
    <n v="1.5356749094345601E-3"/>
    <n v="2830"/>
    <x v="2"/>
    <x v="0"/>
    <d v="2024-08-01T00:00:00"/>
    <d v="2024-08-31T00:00:00"/>
  </r>
  <r>
    <x v="222"/>
    <x v="0"/>
    <d v="2024-11-12T00:00:00"/>
    <x v="4"/>
    <x v="4"/>
    <n v="3338"/>
    <n v="277"/>
    <n v="118"/>
    <n v="60084"/>
    <n v="59842"/>
    <n v="252"/>
    <x v="0"/>
    <n v="6.2129685107516201E-2"/>
    <n v="4.1941282204913102E-3"/>
    <n v="3733"/>
    <x v="2"/>
    <x v="0"/>
    <d v="2024-08-01T00:00:00"/>
    <d v="2024-08-31T00:00:00"/>
  </r>
  <r>
    <x v="223"/>
    <x v="3"/>
    <d v="2025-05-13T00:00:00"/>
    <x v="4"/>
    <x v="4"/>
    <n v="602"/>
    <n v="594"/>
    <n v="156"/>
    <n v="4214"/>
    <n v="3363"/>
    <n v="164"/>
    <x v="2"/>
    <n v="0.32083531086853301"/>
    <n v="3.8917892738490702E-2"/>
    <n v="1352"/>
    <x v="0"/>
    <x v="0"/>
    <d v="2024-10-05T00:00:00"/>
    <d v="2024-11-05T00:00:00"/>
  </r>
  <r>
    <x v="224"/>
    <x v="0"/>
    <d v="2024-06-20T00:00:00"/>
    <x v="3"/>
    <x v="3"/>
    <n v="4672"/>
    <n v="325"/>
    <n v="32"/>
    <n v="88768"/>
    <n v="87833"/>
    <n v="118"/>
    <x v="2"/>
    <n v="5.6653298485940903E-2"/>
    <n v="1.3293078586878199E-3"/>
    <n v="5029"/>
    <x v="4"/>
    <x v="0"/>
    <d v="2024-10-05T00:00:00"/>
    <d v="2024-11-05T00:00:00"/>
  </r>
  <r>
    <x v="224"/>
    <x v="0"/>
    <d v="2024-06-20T00:00:00"/>
    <x v="3"/>
    <x v="3"/>
    <n v="4672"/>
    <n v="325"/>
    <n v="32"/>
    <n v="88768"/>
    <n v="87833"/>
    <n v="118"/>
    <x v="2"/>
    <n v="5.6653298485940903E-2"/>
    <n v="1.3293078586878199E-3"/>
    <n v="5029"/>
    <x v="0"/>
    <x v="0"/>
    <d v="2024-10-05T00:00:00"/>
    <d v="2024-11-05T00:00:00"/>
  </r>
  <r>
    <x v="225"/>
    <x v="2"/>
    <d v="2024-08-07T00:00:00"/>
    <x v="3"/>
    <x v="3"/>
    <n v="1741"/>
    <n v="164"/>
    <n v="318"/>
    <n v="8705"/>
    <n v="8272"/>
    <n v="121"/>
    <x v="1"/>
    <n v="0.25537047673750701"/>
    <n v="1.3900057438253901E-2"/>
    <n v="2223"/>
    <x v="0"/>
    <x v="0"/>
    <d v="2024-06-10T00:00:00"/>
    <d v="2024-07-05T00:00:00"/>
  </r>
  <r>
    <x v="226"/>
    <x v="2"/>
    <d v="2024-06-12T00:00:00"/>
    <x v="1"/>
    <x v="1"/>
    <n v="246"/>
    <n v="149"/>
    <n v="130"/>
    <n v="4674"/>
    <n v="4390"/>
    <n v="217"/>
    <x v="1"/>
    <n v="0.112323491655969"/>
    <n v="4.6427043217800598E-2"/>
    <n v="525"/>
    <x v="3"/>
    <x v="1"/>
    <d v="2024-06-10T00:00:00"/>
    <d v="2024-07-05T00:00:00"/>
  </r>
  <r>
    <x v="226"/>
    <x v="2"/>
    <d v="2024-06-12T00:00:00"/>
    <x v="1"/>
    <x v="1"/>
    <n v="246"/>
    <n v="149"/>
    <n v="130"/>
    <n v="4674"/>
    <n v="4390"/>
    <n v="217"/>
    <x v="1"/>
    <n v="0.112323491655969"/>
    <n v="4.6427043217800598E-2"/>
    <n v="525"/>
    <x v="4"/>
    <x v="1"/>
    <d v="2024-06-10T00:00:00"/>
    <d v="2024-07-05T00:00:00"/>
  </r>
  <r>
    <x v="227"/>
    <x v="2"/>
    <d v="2024-07-01T00:00:00"/>
    <x v="2"/>
    <x v="2"/>
    <n v="4808"/>
    <n v="772"/>
    <n v="320"/>
    <n v="72120"/>
    <n v="71696"/>
    <n v="195"/>
    <x v="3"/>
    <n v="8.1808097615086006E-2"/>
    <n v="2.7038269550748802E-3"/>
    <n v="5900"/>
    <x v="3"/>
    <x v="0"/>
    <d v="2025-01-10T00:00:00"/>
    <d v="2025-02-10T00:00:00"/>
  </r>
  <r>
    <x v="227"/>
    <x v="2"/>
    <d v="2024-07-01T00:00:00"/>
    <x v="2"/>
    <x v="2"/>
    <n v="4808"/>
    <n v="772"/>
    <n v="320"/>
    <n v="72120"/>
    <n v="71696"/>
    <n v="195"/>
    <x v="3"/>
    <n v="8.1808097615086006E-2"/>
    <n v="2.7038269550748802E-3"/>
    <n v="5900"/>
    <x v="0"/>
    <x v="0"/>
    <d v="2025-01-10T00:00:00"/>
    <d v="2025-02-10T00:00:00"/>
  </r>
  <r>
    <x v="228"/>
    <x v="2"/>
    <d v="2024-07-03T00:00:00"/>
    <x v="3"/>
    <x v="3"/>
    <n v="4799"/>
    <n v="694"/>
    <n v="289"/>
    <n v="43191"/>
    <n v="42228"/>
    <n v="118"/>
    <x v="1"/>
    <n v="0.1338704822764"/>
    <n v="2.7320506587020402E-3"/>
    <n v="5782"/>
    <x v="3"/>
    <x v="1"/>
    <d v="2024-06-10T00:00:00"/>
    <d v="2024-07-05T00:00:00"/>
  </r>
  <r>
    <x v="229"/>
    <x v="3"/>
    <d v="2024-07-15T00:00:00"/>
    <x v="0"/>
    <x v="0"/>
    <n v="3663"/>
    <n v="17"/>
    <n v="295"/>
    <n v="51282"/>
    <n v="50567"/>
    <n v="84"/>
    <x v="0"/>
    <n v="7.7512577512577494E-2"/>
    <n v="1.6380016380016401E-3"/>
    <n v="3975"/>
    <x v="0"/>
    <x v="0"/>
    <d v="2024-08-01T00:00:00"/>
    <d v="2024-08-31T00:00:00"/>
  </r>
  <r>
    <x v="230"/>
    <x v="2"/>
    <d v="2025-05-01T00:00:00"/>
    <x v="1"/>
    <x v="1"/>
    <n v="1430"/>
    <n v="376"/>
    <n v="33"/>
    <n v="21450"/>
    <n v="20509"/>
    <n v="251"/>
    <x v="2"/>
    <n v="8.5734265734265694E-2"/>
    <n v="1.1701631701631699E-2"/>
    <n v="1839"/>
    <x v="4"/>
    <x v="0"/>
    <d v="2024-10-05T00:00:00"/>
    <d v="2024-11-05T00:00:00"/>
  </r>
  <r>
    <x v="231"/>
    <x v="0"/>
    <d v="2025-04-29T00:00:00"/>
    <x v="2"/>
    <x v="2"/>
    <n v="249"/>
    <n v="592"/>
    <n v="230"/>
    <n v="1494"/>
    <n v="1044"/>
    <n v="201"/>
    <x v="3"/>
    <n v="0.71686746987951799"/>
    <n v="0.134538152610442"/>
    <n v="1071"/>
    <x v="1"/>
    <x v="0"/>
    <d v="2025-01-10T00:00:00"/>
    <d v="2025-02-10T00:00:00"/>
  </r>
  <r>
    <x v="231"/>
    <x v="0"/>
    <d v="2025-04-29T00:00:00"/>
    <x v="2"/>
    <x v="2"/>
    <n v="249"/>
    <n v="592"/>
    <n v="230"/>
    <n v="1494"/>
    <n v="1044"/>
    <n v="201"/>
    <x v="3"/>
    <n v="0.71686746987951799"/>
    <n v="0.134538152610442"/>
    <n v="1071"/>
    <x v="3"/>
    <x v="0"/>
    <d v="2025-01-10T00:00:00"/>
    <d v="2025-02-10T00:00:00"/>
  </r>
  <r>
    <x v="232"/>
    <x v="3"/>
    <d v="2025-03-08T00:00:00"/>
    <x v="4"/>
    <x v="4"/>
    <n v="2382"/>
    <n v="265"/>
    <n v="134"/>
    <n v="38112"/>
    <n v="37437"/>
    <n v="249"/>
    <x v="1"/>
    <n v="7.2969143576826198E-2"/>
    <n v="6.5333753148614599E-3"/>
    <n v="2781"/>
    <x v="4"/>
    <x v="0"/>
    <d v="2024-06-10T00:00:00"/>
    <d v="2024-07-05T00:00:00"/>
  </r>
  <r>
    <x v="232"/>
    <x v="3"/>
    <d v="2025-03-08T00:00:00"/>
    <x v="4"/>
    <x v="4"/>
    <n v="2382"/>
    <n v="265"/>
    <n v="134"/>
    <n v="38112"/>
    <n v="37437"/>
    <n v="249"/>
    <x v="1"/>
    <n v="7.2969143576826198E-2"/>
    <n v="6.5333753148614599E-3"/>
    <n v="2781"/>
    <x v="3"/>
    <x v="0"/>
    <d v="2024-06-10T00:00:00"/>
    <d v="2024-07-05T00:00:00"/>
  </r>
  <r>
    <x v="233"/>
    <x v="3"/>
    <d v="2024-06-01T00:00:00"/>
    <x v="1"/>
    <x v="1"/>
    <n v="1272"/>
    <n v="465"/>
    <n v="99"/>
    <n v="24168"/>
    <n v="23719"/>
    <n v="42"/>
    <x v="1"/>
    <n v="7.5968222442899705E-2"/>
    <n v="1.7378351539225399E-3"/>
    <n v="1836"/>
    <x v="1"/>
    <x v="2"/>
    <d v="2024-06-10T00:00:00"/>
    <d v="2024-07-05T00:00:00"/>
  </r>
  <r>
    <x v="233"/>
    <x v="3"/>
    <d v="2024-06-01T00:00:00"/>
    <x v="1"/>
    <x v="1"/>
    <n v="1272"/>
    <n v="465"/>
    <n v="99"/>
    <n v="24168"/>
    <n v="23719"/>
    <n v="42"/>
    <x v="1"/>
    <n v="7.5968222442899705E-2"/>
    <n v="1.7378351539225399E-3"/>
    <n v="1836"/>
    <x v="4"/>
    <x v="2"/>
    <d v="2024-06-10T00:00:00"/>
    <d v="2024-07-05T00:00:00"/>
  </r>
  <r>
    <x v="234"/>
    <x v="3"/>
    <d v="2024-12-22T00:00:00"/>
    <x v="4"/>
    <x v="4"/>
    <n v="3196"/>
    <n v="941"/>
    <n v="376"/>
    <n v="35156"/>
    <n v="34444"/>
    <n v="241"/>
    <x v="3"/>
    <n v="0.12837069063602199"/>
    <n v="6.8551598589145502E-3"/>
    <n v="4513"/>
    <x v="2"/>
    <x v="0"/>
    <d v="2025-01-10T00:00:00"/>
    <d v="2025-02-10T00:00:00"/>
  </r>
  <r>
    <x v="234"/>
    <x v="3"/>
    <d v="2024-12-22T00:00:00"/>
    <x v="4"/>
    <x v="4"/>
    <n v="3196"/>
    <n v="941"/>
    <n v="376"/>
    <n v="35156"/>
    <n v="34444"/>
    <n v="241"/>
    <x v="3"/>
    <n v="0.12837069063602199"/>
    <n v="6.8551598589145502E-3"/>
    <n v="4513"/>
    <x v="3"/>
    <x v="0"/>
    <d v="2025-01-10T00:00:00"/>
    <d v="2025-02-10T00:00:00"/>
  </r>
  <r>
    <x v="235"/>
    <x v="3"/>
    <d v="2024-08-19T00:00:00"/>
    <x v="1"/>
    <x v="1"/>
    <n v="1257"/>
    <n v="19"/>
    <n v="351"/>
    <n v="12570"/>
    <n v="11660"/>
    <n v="194"/>
    <x v="0"/>
    <n v="0.12943516308671399"/>
    <n v="1.54335719968178E-2"/>
    <n v="1627"/>
    <x v="2"/>
    <x v="1"/>
    <d v="2024-08-01T00:00:00"/>
    <d v="2024-08-31T00:00:00"/>
  </r>
  <r>
    <x v="236"/>
    <x v="2"/>
    <d v="2024-10-22T00:00:00"/>
    <x v="2"/>
    <x v="2"/>
    <n v="3770"/>
    <n v="917"/>
    <n v="129"/>
    <n v="71630"/>
    <n v="71322"/>
    <n v="76"/>
    <x v="3"/>
    <n v="6.7234398994834604E-2"/>
    <n v="1.0610079575596801E-3"/>
    <n v="4816"/>
    <x v="0"/>
    <x v="0"/>
    <d v="2025-01-10T00:00:00"/>
    <d v="2025-02-10T00:00:00"/>
  </r>
  <r>
    <x v="236"/>
    <x v="2"/>
    <d v="2024-10-22T00:00:00"/>
    <x v="2"/>
    <x v="2"/>
    <n v="3770"/>
    <n v="917"/>
    <n v="129"/>
    <n v="71630"/>
    <n v="71322"/>
    <n v="76"/>
    <x v="3"/>
    <n v="6.7234398994834604E-2"/>
    <n v="1.0610079575596801E-3"/>
    <n v="4816"/>
    <x v="3"/>
    <x v="0"/>
    <d v="2025-01-10T00:00:00"/>
    <d v="2025-02-10T00:00:00"/>
  </r>
  <r>
    <x v="237"/>
    <x v="0"/>
    <d v="2024-07-16T00:00:00"/>
    <x v="1"/>
    <x v="1"/>
    <n v="4725"/>
    <n v="400"/>
    <n v="362"/>
    <n v="75600"/>
    <n v="74927"/>
    <n v="43"/>
    <x v="0"/>
    <n v="7.2579365079365105E-2"/>
    <n v="5.6878306878306898E-4"/>
    <n v="5487"/>
    <x v="3"/>
    <x v="0"/>
    <d v="2024-08-01T00:00:00"/>
    <d v="2024-08-31T00:00:00"/>
  </r>
  <r>
    <x v="237"/>
    <x v="0"/>
    <d v="2024-07-16T00:00:00"/>
    <x v="1"/>
    <x v="1"/>
    <n v="4725"/>
    <n v="400"/>
    <n v="362"/>
    <n v="75600"/>
    <n v="74927"/>
    <n v="43"/>
    <x v="0"/>
    <n v="7.2579365079365105E-2"/>
    <n v="5.6878306878306898E-4"/>
    <n v="5487"/>
    <x v="1"/>
    <x v="0"/>
    <d v="2024-08-01T00:00:00"/>
    <d v="2024-08-31T00:00:00"/>
  </r>
  <r>
    <x v="238"/>
    <x v="1"/>
    <d v="2025-02-24T00:00:00"/>
    <x v="1"/>
    <x v="1"/>
    <n v="4188"/>
    <n v="942"/>
    <n v="118"/>
    <n v="20940"/>
    <n v="20471"/>
    <n v="102"/>
    <x v="1"/>
    <n v="0.25062082139446001"/>
    <n v="4.8710601719197701E-3"/>
    <n v="5248"/>
    <x v="2"/>
    <x v="0"/>
    <d v="2024-06-10T00:00:00"/>
    <d v="2024-07-05T00:00:00"/>
  </r>
  <r>
    <x v="239"/>
    <x v="0"/>
    <d v="2024-08-26T00:00:00"/>
    <x v="3"/>
    <x v="3"/>
    <n v="929"/>
    <n v="192"/>
    <n v="322"/>
    <n v="16722"/>
    <n v="15996"/>
    <n v="145"/>
    <x v="2"/>
    <n v="8.6293505561535699E-2"/>
    <n v="8.6712115775624907E-3"/>
    <n v="1443"/>
    <x v="1"/>
    <x v="0"/>
    <d v="2024-10-05T00:00:00"/>
    <d v="2024-11-05T00:00:00"/>
  </r>
  <r>
    <x v="240"/>
    <x v="3"/>
    <d v="2025-01-18T00:00:00"/>
    <x v="2"/>
    <x v="2"/>
    <n v="4321"/>
    <n v="874"/>
    <n v="172"/>
    <n v="30247"/>
    <n v="29254"/>
    <n v="122"/>
    <x v="2"/>
    <n v="0.17743908486792101"/>
    <n v="4.0334578635897803E-3"/>
    <n v="5367"/>
    <x v="0"/>
    <x v="0"/>
    <d v="2024-10-05T00:00:00"/>
    <d v="2024-11-05T00:00:00"/>
  </r>
  <r>
    <x v="240"/>
    <x v="3"/>
    <d v="2025-01-18T00:00:00"/>
    <x v="2"/>
    <x v="2"/>
    <n v="4321"/>
    <n v="874"/>
    <n v="172"/>
    <n v="30247"/>
    <n v="29254"/>
    <n v="122"/>
    <x v="2"/>
    <n v="0.17743908486792101"/>
    <n v="4.0334578635897803E-3"/>
    <n v="5367"/>
    <x v="1"/>
    <x v="0"/>
    <d v="2024-10-05T00:00:00"/>
    <d v="2024-11-05T00:00:00"/>
  </r>
  <r>
    <x v="241"/>
    <x v="3"/>
    <d v="2024-07-07T00:00:00"/>
    <x v="0"/>
    <x v="0"/>
    <n v="4767"/>
    <n v="190"/>
    <n v="340"/>
    <n v="28602"/>
    <n v="28044"/>
    <n v="210"/>
    <x v="3"/>
    <n v="0.18519683938186099"/>
    <n v="7.3421439060205604E-3"/>
    <n v="5297"/>
    <x v="4"/>
    <x v="0"/>
    <d v="2025-01-10T00:00:00"/>
    <d v="2025-02-10T00:00:00"/>
  </r>
  <r>
    <x v="242"/>
    <x v="0"/>
    <d v="2025-03-06T00:00:00"/>
    <x v="4"/>
    <x v="4"/>
    <n v="3592"/>
    <n v="911"/>
    <n v="375"/>
    <n v="50288"/>
    <n v="49490"/>
    <n v="32"/>
    <x v="1"/>
    <n v="9.7001272669424099E-2"/>
    <n v="6.36334712058543E-4"/>
    <n v="4878"/>
    <x v="2"/>
    <x v="0"/>
    <d v="2024-06-10T00:00:00"/>
    <d v="2024-07-05T00:00:00"/>
  </r>
  <r>
    <x v="243"/>
    <x v="1"/>
    <d v="2024-10-25T00:00:00"/>
    <x v="5"/>
    <x v="5"/>
    <n v="4661"/>
    <n v="935"/>
    <n v="433"/>
    <n v="23305"/>
    <n v="22583"/>
    <n v="63"/>
    <x v="0"/>
    <n v="0.258699849817636"/>
    <n v="2.7032825573911198E-3"/>
    <n v="6029"/>
    <x v="2"/>
    <x v="0"/>
    <d v="2024-08-01T00:00:00"/>
    <d v="2024-08-31T00:00:00"/>
  </r>
  <r>
    <x v="243"/>
    <x v="1"/>
    <d v="2024-10-25T00:00:00"/>
    <x v="5"/>
    <x v="5"/>
    <n v="4661"/>
    <n v="935"/>
    <n v="433"/>
    <n v="23305"/>
    <n v="22583"/>
    <n v="63"/>
    <x v="0"/>
    <n v="0.258699849817636"/>
    <n v="2.7032825573911198E-3"/>
    <n v="6029"/>
    <x v="4"/>
    <x v="0"/>
    <d v="2024-08-01T00:00:00"/>
    <d v="2024-08-31T00:00:00"/>
  </r>
  <r>
    <x v="244"/>
    <x v="3"/>
    <d v="2025-01-12T00:00:00"/>
    <x v="0"/>
    <x v="0"/>
    <n v="4134"/>
    <n v="824"/>
    <n v="99"/>
    <n v="41340"/>
    <n v="41050"/>
    <n v="177"/>
    <x v="1"/>
    <n v="0.122327044025157"/>
    <n v="4.2815674891146602E-3"/>
    <n v="5057"/>
    <x v="1"/>
    <x v="0"/>
    <d v="2024-06-10T00:00:00"/>
    <d v="2024-07-05T00:00:00"/>
  </r>
  <r>
    <x v="245"/>
    <x v="3"/>
    <d v="2024-10-11T00:00:00"/>
    <x v="4"/>
    <x v="4"/>
    <n v="400"/>
    <n v="680"/>
    <n v="434"/>
    <n v="6400"/>
    <n v="5472"/>
    <n v="160"/>
    <x v="1"/>
    <n v="0.23656250000000001"/>
    <n v="2.5000000000000001E-2"/>
    <n v="1514"/>
    <x v="0"/>
    <x v="0"/>
    <d v="2024-06-10T00:00:00"/>
    <d v="2024-07-05T00:00:00"/>
  </r>
  <r>
    <x v="245"/>
    <x v="3"/>
    <d v="2024-10-11T00:00:00"/>
    <x v="4"/>
    <x v="4"/>
    <n v="400"/>
    <n v="680"/>
    <n v="434"/>
    <n v="6400"/>
    <n v="5472"/>
    <n v="160"/>
    <x v="1"/>
    <n v="0.23656250000000001"/>
    <n v="2.5000000000000001E-2"/>
    <n v="1514"/>
    <x v="3"/>
    <x v="0"/>
    <d v="2024-06-10T00:00:00"/>
    <d v="2024-07-05T00:00:00"/>
  </r>
  <r>
    <x v="246"/>
    <x v="3"/>
    <d v="2024-08-27T00:00:00"/>
    <x v="0"/>
    <x v="0"/>
    <n v="3960"/>
    <n v="266"/>
    <n v="8"/>
    <n v="35640"/>
    <n v="34850"/>
    <n v="208"/>
    <x v="3"/>
    <n v="0.118799102132435"/>
    <n v="5.8361391694725E-3"/>
    <n v="4234"/>
    <x v="3"/>
    <x v="0"/>
    <d v="2025-01-10T00:00:00"/>
    <d v="2025-02-10T00:00:00"/>
  </r>
  <r>
    <x v="246"/>
    <x v="3"/>
    <d v="2024-08-27T00:00:00"/>
    <x v="0"/>
    <x v="0"/>
    <n v="3960"/>
    <n v="266"/>
    <n v="8"/>
    <n v="35640"/>
    <n v="34850"/>
    <n v="208"/>
    <x v="3"/>
    <n v="0.118799102132435"/>
    <n v="5.8361391694725E-3"/>
    <n v="4234"/>
    <x v="1"/>
    <x v="0"/>
    <d v="2025-01-10T00:00:00"/>
    <d v="2025-02-10T00:00:00"/>
  </r>
  <r>
    <x v="247"/>
    <x v="3"/>
    <d v="2025-02-02T00:00:00"/>
    <x v="2"/>
    <x v="2"/>
    <n v="886"/>
    <n v="126"/>
    <n v="153"/>
    <n v="4430"/>
    <n v="4037"/>
    <n v="212"/>
    <x v="2"/>
    <n v="0.26297968397291199"/>
    <n v="4.7855530474040599E-2"/>
    <n v="1165"/>
    <x v="0"/>
    <x v="0"/>
    <d v="2024-10-05T00:00:00"/>
    <d v="2024-11-05T00:00:00"/>
  </r>
  <r>
    <x v="248"/>
    <x v="0"/>
    <d v="2024-07-18T00:00:00"/>
    <x v="4"/>
    <x v="4"/>
    <n v="827"/>
    <n v="77"/>
    <n v="402"/>
    <n v="14886"/>
    <n v="14129"/>
    <n v="254"/>
    <x v="1"/>
    <n v="8.7733440816874897E-2"/>
    <n v="1.7063012226252901E-2"/>
    <n v="1306"/>
    <x v="2"/>
    <x v="0"/>
    <d v="2024-06-10T00:00:00"/>
    <d v="2024-07-05T00:00:00"/>
  </r>
  <r>
    <x v="249"/>
    <x v="3"/>
    <d v="2024-06-22T00:00:00"/>
    <x v="0"/>
    <x v="0"/>
    <n v="3813"/>
    <n v="935"/>
    <n v="274"/>
    <n v="68634"/>
    <n v="68488"/>
    <n v="251"/>
    <x v="0"/>
    <n v="7.3170731707317097E-2"/>
    <n v="3.6570795815485E-3"/>
    <n v="5022"/>
    <x v="4"/>
    <x v="0"/>
    <d v="2024-08-01T00:00:00"/>
    <d v="2024-08-31T00:00:00"/>
  </r>
  <r>
    <x v="249"/>
    <x v="3"/>
    <d v="2024-06-22T00:00:00"/>
    <x v="0"/>
    <x v="0"/>
    <n v="3813"/>
    <n v="935"/>
    <n v="274"/>
    <n v="68634"/>
    <n v="68488"/>
    <n v="251"/>
    <x v="0"/>
    <n v="7.3170731707317097E-2"/>
    <n v="3.6570795815485E-3"/>
    <n v="5022"/>
    <x v="3"/>
    <x v="0"/>
    <d v="2024-08-01T00:00:00"/>
    <d v="2024-08-31T00:00:00"/>
  </r>
  <r>
    <x v="250"/>
    <x v="2"/>
    <d v="2025-03-27T00:00:00"/>
    <x v="3"/>
    <x v="3"/>
    <n v="1377"/>
    <n v="796"/>
    <n v="387"/>
    <n v="22032"/>
    <n v="21869"/>
    <n v="189"/>
    <x v="2"/>
    <n v="0.116194625998548"/>
    <n v="8.5784313725490204E-3"/>
    <n v="2560"/>
    <x v="4"/>
    <x v="0"/>
    <d v="2024-10-05T00:00:00"/>
    <d v="2024-11-05T00:00:00"/>
  </r>
  <r>
    <x v="250"/>
    <x v="2"/>
    <d v="2025-03-27T00:00:00"/>
    <x v="3"/>
    <x v="3"/>
    <n v="1377"/>
    <n v="796"/>
    <n v="387"/>
    <n v="22032"/>
    <n v="21869"/>
    <n v="189"/>
    <x v="2"/>
    <n v="0.116194625998548"/>
    <n v="8.5784313725490204E-3"/>
    <n v="2560"/>
    <x v="1"/>
    <x v="0"/>
    <d v="2024-10-05T00:00:00"/>
    <d v="2024-11-05T00:00:00"/>
  </r>
  <r>
    <x v="251"/>
    <x v="3"/>
    <d v="2025-04-28T00:00:00"/>
    <x v="3"/>
    <x v="3"/>
    <n v="2089"/>
    <n v="476"/>
    <n v="69"/>
    <n v="16712"/>
    <n v="16309"/>
    <n v="64"/>
    <x v="0"/>
    <n v="0.15761129727142201"/>
    <n v="3.8295835327908099E-3"/>
    <n v="2634"/>
    <x v="2"/>
    <x v="0"/>
    <d v="2024-08-01T00:00:00"/>
    <d v="2024-08-31T00:00:00"/>
  </r>
  <r>
    <x v="251"/>
    <x v="3"/>
    <d v="2025-04-28T00:00:00"/>
    <x v="3"/>
    <x v="3"/>
    <n v="2089"/>
    <n v="476"/>
    <n v="69"/>
    <n v="16712"/>
    <n v="16309"/>
    <n v="64"/>
    <x v="0"/>
    <n v="0.15761129727142201"/>
    <n v="3.8295835327908099E-3"/>
    <n v="2634"/>
    <x v="0"/>
    <x v="0"/>
    <d v="2024-08-01T00:00:00"/>
    <d v="2024-08-31T00:00:00"/>
  </r>
  <r>
    <x v="252"/>
    <x v="0"/>
    <d v="2024-08-03T00:00:00"/>
    <x v="0"/>
    <x v="0"/>
    <n v="3791"/>
    <n v="593"/>
    <n v="228"/>
    <n v="53074"/>
    <n v="52613"/>
    <n v="205"/>
    <x v="0"/>
    <n v="8.6897539284772202E-2"/>
    <n v="3.8625315597090801E-3"/>
    <n v="4612"/>
    <x v="2"/>
    <x v="1"/>
    <d v="2024-08-01T00:00:00"/>
    <d v="2024-08-31T00:00:00"/>
  </r>
  <r>
    <x v="252"/>
    <x v="0"/>
    <d v="2024-08-03T00:00:00"/>
    <x v="0"/>
    <x v="0"/>
    <n v="3791"/>
    <n v="593"/>
    <n v="228"/>
    <n v="53074"/>
    <n v="52613"/>
    <n v="205"/>
    <x v="0"/>
    <n v="8.6897539284772202E-2"/>
    <n v="3.8625315597090801E-3"/>
    <n v="4612"/>
    <x v="4"/>
    <x v="1"/>
    <d v="2024-08-01T00:00:00"/>
    <d v="2024-08-31T00:00:00"/>
  </r>
  <r>
    <x v="253"/>
    <x v="0"/>
    <d v="2025-01-14T00:00:00"/>
    <x v="4"/>
    <x v="4"/>
    <n v="2692"/>
    <n v="115"/>
    <n v="64"/>
    <n v="21536"/>
    <n v="21120"/>
    <n v="224"/>
    <x v="3"/>
    <n v="0.133311664190193"/>
    <n v="1.04011887072808E-2"/>
    <n v="2871"/>
    <x v="4"/>
    <x v="1"/>
    <d v="2025-01-10T00:00:00"/>
    <d v="2025-02-10T00:00:00"/>
  </r>
  <r>
    <x v="253"/>
    <x v="0"/>
    <d v="2025-01-14T00:00:00"/>
    <x v="4"/>
    <x v="4"/>
    <n v="2692"/>
    <n v="115"/>
    <n v="64"/>
    <n v="21536"/>
    <n v="21120"/>
    <n v="224"/>
    <x v="3"/>
    <n v="0.133311664190193"/>
    <n v="1.04011887072808E-2"/>
    <n v="2871"/>
    <x v="3"/>
    <x v="1"/>
    <d v="2025-01-10T00:00:00"/>
    <d v="2025-02-10T00:00:00"/>
  </r>
  <r>
    <x v="254"/>
    <x v="3"/>
    <d v="2025-04-03T00:00:00"/>
    <x v="2"/>
    <x v="2"/>
    <n v="3767"/>
    <n v="514"/>
    <n v="238"/>
    <n v="37670"/>
    <n v="36807"/>
    <n v="226"/>
    <x v="0"/>
    <n v="0.119962835147332"/>
    <n v="5.9994690735333204E-3"/>
    <n v="4519"/>
    <x v="2"/>
    <x v="0"/>
    <d v="2024-08-01T00:00:00"/>
    <d v="2024-08-31T00:00:00"/>
  </r>
  <r>
    <x v="254"/>
    <x v="3"/>
    <d v="2025-04-03T00:00:00"/>
    <x v="2"/>
    <x v="2"/>
    <n v="3767"/>
    <n v="514"/>
    <n v="238"/>
    <n v="37670"/>
    <n v="36807"/>
    <n v="226"/>
    <x v="0"/>
    <n v="0.119962835147332"/>
    <n v="5.9994690735333204E-3"/>
    <n v="4519"/>
    <x v="4"/>
    <x v="0"/>
    <d v="2024-08-01T00:00:00"/>
    <d v="2024-08-31T00:00:00"/>
  </r>
  <r>
    <x v="255"/>
    <x v="1"/>
    <d v="2024-09-18T00:00:00"/>
    <x v="3"/>
    <x v="3"/>
    <n v="2143"/>
    <n v="12"/>
    <n v="204"/>
    <n v="40717"/>
    <n v="40125"/>
    <n v="248"/>
    <x v="3"/>
    <n v="5.7936488444630001E-2"/>
    <n v="6.0908220153744102E-3"/>
    <n v="2359"/>
    <x v="4"/>
    <x v="0"/>
    <d v="2025-01-10T00:00:00"/>
    <d v="2025-02-10T00:00:00"/>
  </r>
  <r>
    <x v="255"/>
    <x v="1"/>
    <d v="2024-09-18T00:00:00"/>
    <x v="3"/>
    <x v="3"/>
    <n v="2143"/>
    <n v="12"/>
    <n v="204"/>
    <n v="40717"/>
    <n v="40125"/>
    <n v="248"/>
    <x v="3"/>
    <n v="5.7936488444630001E-2"/>
    <n v="6.0908220153744102E-3"/>
    <n v="2359"/>
    <x v="0"/>
    <x v="0"/>
    <d v="2025-01-10T00:00:00"/>
    <d v="2025-02-10T00:00:00"/>
  </r>
  <r>
    <x v="256"/>
    <x v="3"/>
    <d v="2025-04-06T00:00:00"/>
    <x v="4"/>
    <x v="4"/>
    <n v="3090"/>
    <n v="697"/>
    <n v="164"/>
    <n v="49440"/>
    <n v="48524"/>
    <n v="25"/>
    <x v="3"/>
    <n v="7.9915048543689304E-2"/>
    <n v="5.0566343042071204E-4"/>
    <n v="3951"/>
    <x v="4"/>
    <x v="0"/>
    <d v="2025-01-10T00:00:00"/>
    <d v="2025-02-10T00:00:00"/>
  </r>
  <r>
    <x v="256"/>
    <x v="3"/>
    <d v="2025-04-06T00:00:00"/>
    <x v="4"/>
    <x v="4"/>
    <n v="3090"/>
    <n v="697"/>
    <n v="164"/>
    <n v="49440"/>
    <n v="48524"/>
    <n v="25"/>
    <x v="3"/>
    <n v="7.9915048543689304E-2"/>
    <n v="5.0566343042071204E-4"/>
    <n v="3951"/>
    <x v="2"/>
    <x v="0"/>
    <d v="2025-01-10T00:00:00"/>
    <d v="2025-02-10T00:00:00"/>
  </r>
  <r>
    <x v="257"/>
    <x v="2"/>
    <d v="2024-08-05T00:00:00"/>
    <x v="2"/>
    <x v="2"/>
    <n v="3601"/>
    <n v="695"/>
    <n v="75"/>
    <n v="21606"/>
    <n v="21454"/>
    <n v="172"/>
    <x v="1"/>
    <n v="0.20230491530130501"/>
    <n v="7.9607516430621108E-3"/>
    <n v="4371"/>
    <x v="2"/>
    <x v="0"/>
    <d v="2024-06-10T00:00:00"/>
    <d v="2024-07-05T00:00:00"/>
  </r>
  <r>
    <x v="258"/>
    <x v="3"/>
    <d v="2025-02-10T00:00:00"/>
    <x v="1"/>
    <x v="1"/>
    <n v="562"/>
    <n v="158"/>
    <n v="149"/>
    <n v="3372"/>
    <n v="2940"/>
    <n v="93"/>
    <x v="3"/>
    <n v="0.25771055753262201"/>
    <n v="2.7580071174377201E-2"/>
    <n v="869"/>
    <x v="4"/>
    <x v="1"/>
    <d v="2025-01-10T00:00:00"/>
    <d v="2025-02-10T00:00:00"/>
  </r>
  <r>
    <x v="258"/>
    <x v="3"/>
    <d v="2025-02-10T00:00:00"/>
    <x v="1"/>
    <x v="1"/>
    <n v="562"/>
    <n v="158"/>
    <n v="149"/>
    <n v="3372"/>
    <n v="2940"/>
    <n v="93"/>
    <x v="3"/>
    <n v="0.25771055753262201"/>
    <n v="2.7580071174377201E-2"/>
    <n v="869"/>
    <x v="0"/>
    <x v="1"/>
    <d v="2025-01-10T00:00:00"/>
    <d v="2025-02-10T00:00:00"/>
  </r>
  <r>
    <x v="259"/>
    <x v="2"/>
    <d v="2025-02-12T00:00:00"/>
    <x v="2"/>
    <x v="2"/>
    <n v="4332"/>
    <n v="771"/>
    <n v="219"/>
    <n v="60648"/>
    <n v="60397"/>
    <n v="10"/>
    <x v="2"/>
    <n v="8.7752275425405604E-2"/>
    <n v="1.6488589895792099E-4"/>
    <n v="5322"/>
    <x v="1"/>
    <x v="0"/>
    <d v="2024-10-05T00:00:00"/>
    <d v="2024-11-05T00:00:00"/>
  </r>
  <r>
    <x v="260"/>
    <x v="2"/>
    <d v="2024-10-27T00:00:00"/>
    <x v="4"/>
    <x v="4"/>
    <n v="4853"/>
    <n v="837"/>
    <n v="340"/>
    <n v="72795"/>
    <n v="72237"/>
    <n v="170"/>
    <x v="1"/>
    <n v="8.2835359571399106E-2"/>
    <n v="2.3353252283810702E-3"/>
    <n v="6030"/>
    <x v="0"/>
    <x v="0"/>
    <d v="2024-06-10T00:00:00"/>
    <d v="2024-07-05T00:00:00"/>
  </r>
  <r>
    <x v="261"/>
    <x v="1"/>
    <d v="2025-01-18T00:00:00"/>
    <x v="4"/>
    <x v="4"/>
    <n v="1206"/>
    <n v="238"/>
    <n v="36"/>
    <n v="9648"/>
    <n v="9417"/>
    <n v="237"/>
    <x v="2"/>
    <n v="0.15339966832504101"/>
    <n v="2.4564676616915401E-2"/>
    <n v="1480"/>
    <x v="0"/>
    <x v="0"/>
    <d v="2024-10-05T00:00:00"/>
    <d v="2024-11-05T00:00:00"/>
  </r>
  <r>
    <x v="261"/>
    <x v="1"/>
    <d v="2025-01-18T00:00:00"/>
    <x v="4"/>
    <x v="4"/>
    <n v="1206"/>
    <n v="238"/>
    <n v="36"/>
    <n v="9648"/>
    <n v="9417"/>
    <n v="237"/>
    <x v="2"/>
    <n v="0.15339966832504101"/>
    <n v="2.4564676616915401E-2"/>
    <n v="1480"/>
    <x v="2"/>
    <x v="0"/>
    <d v="2024-10-05T00:00:00"/>
    <d v="2024-11-05T00:00:00"/>
  </r>
  <r>
    <x v="262"/>
    <x v="2"/>
    <d v="2024-08-20T00:00:00"/>
    <x v="0"/>
    <x v="0"/>
    <n v="2603"/>
    <n v="690"/>
    <n v="205"/>
    <n v="13015"/>
    <n v="12130"/>
    <n v="20"/>
    <x v="0"/>
    <n v="0.268766807529773"/>
    <n v="1.5366884364195199E-3"/>
    <n v="3498"/>
    <x v="3"/>
    <x v="1"/>
    <d v="2024-08-01T00:00:00"/>
    <d v="2024-08-31T00:00:00"/>
  </r>
  <r>
    <x v="263"/>
    <x v="0"/>
    <d v="2025-01-30T00:00:00"/>
    <x v="4"/>
    <x v="4"/>
    <n v="59"/>
    <n v="163"/>
    <n v="93"/>
    <n v="590"/>
    <n v="475"/>
    <n v="293"/>
    <x v="3"/>
    <n v="0.53389830508474601"/>
    <n v="0.49661016949152498"/>
    <n v="315"/>
    <x v="3"/>
    <x v="1"/>
    <d v="2025-01-10T00:00:00"/>
    <d v="2025-02-10T00:00:00"/>
  </r>
  <r>
    <x v="264"/>
    <x v="0"/>
    <d v="2025-02-20T00:00:00"/>
    <x v="3"/>
    <x v="3"/>
    <n v="1877"/>
    <n v="745"/>
    <n v="225"/>
    <n v="11262"/>
    <n v="10967"/>
    <n v="41"/>
    <x v="0"/>
    <n v="0.25279701651571701"/>
    <n v="3.64056117918664E-3"/>
    <n v="2847"/>
    <x v="2"/>
    <x v="0"/>
    <d v="2024-08-01T00:00:00"/>
    <d v="2024-08-31T00:00:00"/>
  </r>
  <r>
    <x v="264"/>
    <x v="0"/>
    <d v="2025-02-20T00:00:00"/>
    <x v="3"/>
    <x v="3"/>
    <n v="1877"/>
    <n v="745"/>
    <n v="225"/>
    <n v="11262"/>
    <n v="10967"/>
    <n v="41"/>
    <x v="0"/>
    <n v="0.25279701651571701"/>
    <n v="3.64056117918664E-3"/>
    <n v="2847"/>
    <x v="0"/>
    <x v="0"/>
    <d v="2024-08-01T00:00:00"/>
    <d v="2024-08-31T00:00:00"/>
  </r>
  <r>
    <x v="265"/>
    <x v="3"/>
    <d v="2024-11-25T00:00:00"/>
    <x v="2"/>
    <x v="2"/>
    <n v="4182"/>
    <n v="640"/>
    <n v="240"/>
    <n v="50184"/>
    <n v="49351"/>
    <n v="10"/>
    <x v="2"/>
    <n v="0.10086880280567501"/>
    <n v="1.99266698549338E-4"/>
    <n v="5062"/>
    <x v="0"/>
    <x v="0"/>
    <d v="2024-10-05T00:00:00"/>
    <d v="2024-11-05T00:00:00"/>
  </r>
  <r>
    <x v="265"/>
    <x v="3"/>
    <d v="2024-11-25T00:00:00"/>
    <x v="2"/>
    <x v="2"/>
    <n v="4182"/>
    <n v="640"/>
    <n v="240"/>
    <n v="50184"/>
    <n v="49351"/>
    <n v="10"/>
    <x v="2"/>
    <n v="0.10086880280567501"/>
    <n v="1.99266698549338E-4"/>
    <n v="5062"/>
    <x v="2"/>
    <x v="0"/>
    <d v="2024-10-05T00:00:00"/>
    <d v="2024-11-05T00:00:00"/>
  </r>
  <r>
    <x v="266"/>
    <x v="0"/>
    <d v="2024-10-04T00:00:00"/>
    <x v="0"/>
    <x v="0"/>
    <n v="4187"/>
    <n v="66"/>
    <n v="31"/>
    <n v="66992"/>
    <n v="66614"/>
    <n v="62"/>
    <x v="3"/>
    <n v="6.3947934081681396E-2"/>
    <n v="9.2548363983759301E-4"/>
    <n v="4284"/>
    <x v="2"/>
    <x v="0"/>
    <d v="2025-01-10T00:00:00"/>
    <d v="2025-02-10T00:00:00"/>
  </r>
  <r>
    <x v="267"/>
    <x v="2"/>
    <d v="2025-04-13T00:00:00"/>
    <x v="0"/>
    <x v="0"/>
    <n v="4579"/>
    <n v="125"/>
    <n v="300"/>
    <n v="59527"/>
    <n v="59400"/>
    <n v="269"/>
    <x v="0"/>
    <n v="8.40626942395888E-2"/>
    <n v="4.5189577838627799E-3"/>
    <n v="5004"/>
    <x v="2"/>
    <x v="0"/>
    <d v="2024-08-01T00:00:00"/>
    <d v="2024-08-31T00:00:00"/>
  </r>
  <r>
    <x v="267"/>
    <x v="2"/>
    <d v="2025-04-13T00:00:00"/>
    <x v="0"/>
    <x v="0"/>
    <n v="4579"/>
    <n v="125"/>
    <n v="300"/>
    <n v="59527"/>
    <n v="59400"/>
    <n v="269"/>
    <x v="0"/>
    <n v="8.40626942395888E-2"/>
    <n v="4.5189577838627799E-3"/>
    <n v="5004"/>
    <x v="1"/>
    <x v="0"/>
    <d v="2024-08-01T00:00:00"/>
    <d v="2024-08-31T00:00:00"/>
  </r>
  <r>
    <x v="268"/>
    <x v="2"/>
    <d v="2024-11-05T00:00:00"/>
    <x v="5"/>
    <x v="5"/>
    <n v="4561"/>
    <n v="51"/>
    <n v="441"/>
    <n v="22805"/>
    <n v="21890"/>
    <n v="45"/>
    <x v="1"/>
    <n v="0.221574216180662"/>
    <n v="1.9732514799386102E-3"/>
    <n v="5053"/>
    <x v="2"/>
    <x v="0"/>
    <d v="2024-06-10T00:00:00"/>
    <d v="2024-07-05T00:00:00"/>
  </r>
  <r>
    <x v="269"/>
    <x v="1"/>
    <d v="2025-01-15T00:00:00"/>
    <x v="0"/>
    <x v="0"/>
    <n v="3774"/>
    <n v="239"/>
    <n v="39"/>
    <n v="60384"/>
    <n v="59490"/>
    <n v="241"/>
    <x v="2"/>
    <n v="6.7103868574456799E-2"/>
    <n v="3.9911234764175903E-3"/>
    <n v="4052"/>
    <x v="4"/>
    <x v="0"/>
    <d v="2024-10-05T00:00:00"/>
    <d v="2024-11-05T00:00:00"/>
  </r>
  <r>
    <x v="270"/>
    <x v="2"/>
    <d v="2024-10-17T00:00:00"/>
    <x v="5"/>
    <x v="5"/>
    <n v="3575"/>
    <n v="749"/>
    <n v="111"/>
    <n v="21450"/>
    <n v="20785"/>
    <n v="195"/>
    <x v="2"/>
    <n v="0.20675990675990699"/>
    <n v="9.0909090909090905E-3"/>
    <n v="4435"/>
    <x v="4"/>
    <x v="1"/>
    <d v="2024-10-05T00:00:00"/>
    <d v="2024-11-05T00:00:00"/>
  </r>
  <r>
    <x v="271"/>
    <x v="2"/>
    <d v="2025-03-27T00:00:00"/>
    <x v="1"/>
    <x v="1"/>
    <n v="4941"/>
    <n v="414"/>
    <n v="266"/>
    <n v="39528"/>
    <n v="39154"/>
    <n v="217"/>
    <x v="1"/>
    <n v="0.142202995345072"/>
    <n v="5.4897793968832201E-3"/>
    <n v="5621"/>
    <x v="0"/>
    <x v="0"/>
    <d v="2024-06-10T00:00:00"/>
    <d v="2024-07-05T00:00:00"/>
  </r>
  <r>
    <x v="272"/>
    <x v="1"/>
    <d v="2024-10-12T00:00:00"/>
    <x v="2"/>
    <x v="2"/>
    <n v="3641"/>
    <n v="226"/>
    <n v="46"/>
    <n v="40051"/>
    <n v="39319"/>
    <n v="296"/>
    <x v="1"/>
    <n v="9.7700431949264699E-2"/>
    <n v="7.3905770143067604E-3"/>
    <n v="3913"/>
    <x v="3"/>
    <x v="0"/>
    <d v="2024-06-10T00:00:00"/>
    <d v="2024-07-05T00:00:00"/>
  </r>
  <r>
    <x v="273"/>
    <x v="0"/>
    <d v="2025-01-01T00:00:00"/>
    <x v="3"/>
    <x v="3"/>
    <n v="3535"/>
    <n v="494"/>
    <n v="152"/>
    <n v="53025"/>
    <n v="52791"/>
    <n v="44"/>
    <x v="1"/>
    <n v="7.8849599245638793E-2"/>
    <n v="8.2979726544082997E-4"/>
    <n v="4181"/>
    <x v="3"/>
    <x v="0"/>
    <d v="2024-06-10T00:00:00"/>
    <d v="2024-07-05T00:00:00"/>
  </r>
  <r>
    <x v="273"/>
    <x v="0"/>
    <d v="2025-01-01T00:00:00"/>
    <x v="3"/>
    <x v="3"/>
    <n v="3535"/>
    <n v="494"/>
    <n v="152"/>
    <n v="53025"/>
    <n v="52791"/>
    <n v="44"/>
    <x v="1"/>
    <n v="7.8849599245638793E-2"/>
    <n v="8.2979726544082997E-4"/>
    <n v="4181"/>
    <x v="2"/>
    <x v="0"/>
    <d v="2024-06-10T00:00:00"/>
    <d v="2024-07-05T00:00:00"/>
  </r>
  <r>
    <x v="274"/>
    <x v="3"/>
    <d v="2024-08-05T00:00:00"/>
    <x v="0"/>
    <x v="0"/>
    <n v="1741"/>
    <n v="831"/>
    <n v="345"/>
    <n v="17410"/>
    <n v="16844"/>
    <n v="58"/>
    <x v="3"/>
    <n v="0.16754738655944901"/>
    <n v="3.3314187248707598E-3"/>
    <n v="2917"/>
    <x v="1"/>
    <x v="0"/>
    <d v="2025-01-10T00:00:00"/>
    <d v="2025-02-10T00:00:00"/>
  </r>
  <r>
    <x v="274"/>
    <x v="3"/>
    <d v="2024-08-05T00:00:00"/>
    <x v="0"/>
    <x v="0"/>
    <n v="1741"/>
    <n v="831"/>
    <n v="345"/>
    <n v="17410"/>
    <n v="16844"/>
    <n v="58"/>
    <x v="3"/>
    <n v="0.16754738655944901"/>
    <n v="3.3314187248707598E-3"/>
    <n v="2917"/>
    <x v="4"/>
    <x v="0"/>
    <d v="2025-01-10T00:00:00"/>
    <d v="2025-02-10T00:00:00"/>
  </r>
  <r>
    <x v="275"/>
    <x v="0"/>
    <d v="2024-06-07T00:00:00"/>
    <x v="3"/>
    <x v="3"/>
    <n v="1556"/>
    <n v="195"/>
    <n v="131"/>
    <n v="9336"/>
    <n v="8875"/>
    <n v="137"/>
    <x v="1"/>
    <n v="0.20158526135389901"/>
    <n v="1.46743787489289E-2"/>
    <n v="1882"/>
    <x v="1"/>
    <x v="2"/>
    <d v="2024-06-10T00:00:00"/>
    <d v="2024-07-05T00:00:00"/>
  </r>
  <r>
    <x v="276"/>
    <x v="3"/>
    <d v="2025-04-06T00:00:00"/>
    <x v="4"/>
    <x v="4"/>
    <n v="4236"/>
    <n v="711"/>
    <n v="298"/>
    <n v="21180"/>
    <n v="20516"/>
    <n v="238"/>
    <x v="3"/>
    <n v="0.247639282341832"/>
    <n v="1.12370160528801E-2"/>
    <n v="5245"/>
    <x v="3"/>
    <x v="0"/>
    <d v="2025-01-10T00:00:00"/>
    <d v="2025-02-10T00:00:00"/>
  </r>
  <r>
    <x v="276"/>
    <x v="3"/>
    <d v="2025-04-06T00:00:00"/>
    <x v="4"/>
    <x v="4"/>
    <n v="4236"/>
    <n v="711"/>
    <n v="298"/>
    <n v="21180"/>
    <n v="20516"/>
    <n v="238"/>
    <x v="3"/>
    <n v="0.247639282341832"/>
    <n v="1.12370160528801E-2"/>
    <n v="5245"/>
    <x v="0"/>
    <x v="0"/>
    <d v="2025-01-10T00:00:00"/>
    <d v="2025-02-10T00:00:00"/>
  </r>
  <r>
    <x v="277"/>
    <x v="0"/>
    <d v="2024-11-26T00:00:00"/>
    <x v="1"/>
    <x v="1"/>
    <n v="4516"/>
    <n v="836"/>
    <n v="169"/>
    <n v="49676"/>
    <n v="49257"/>
    <n v="282"/>
    <x v="0"/>
    <n v="0.111140188420968"/>
    <n v="5.6767855704968201E-3"/>
    <n v="5521"/>
    <x v="3"/>
    <x v="0"/>
    <d v="2024-08-01T00:00:00"/>
    <d v="2024-08-31T00:00:00"/>
  </r>
  <r>
    <x v="278"/>
    <x v="1"/>
    <d v="2024-09-02T00:00:00"/>
    <x v="4"/>
    <x v="4"/>
    <n v="4905"/>
    <n v="845"/>
    <n v="129"/>
    <n v="98100"/>
    <n v="97772"/>
    <n v="279"/>
    <x v="3"/>
    <n v="5.9928644240570803E-2"/>
    <n v="2.84403669724771E-3"/>
    <n v="5879"/>
    <x v="3"/>
    <x v="0"/>
    <d v="2025-01-10T00:00:00"/>
    <d v="2025-02-10T00:00:00"/>
  </r>
  <r>
    <x v="279"/>
    <x v="1"/>
    <d v="2024-10-21T00:00:00"/>
    <x v="5"/>
    <x v="5"/>
    <n v="4275"/>
    <n v="680"/>
    <n v="385"/>
    <n v="64125"/>
    <n v="63650"/>
    <n v="104"/>
    <x v="3"/>
    <n v="8.3274853801169599E-2"/>
    <n v="1.6218323586744601E-3"/>
    <n v="5340"/>
    <x v="2"/>
    <x v="0"/>
    <d v="2025-01-10T00:00:00"/>
    <d v="2025-02-10T00:00:00"/>
  </r>
  <r>
    <x v="280"/>
    <x v="1"/>
    <d v="2025-03-22T00:00:00"/>
    <x v="4"/>
    <x v="4"/>
    <n v="3166"/>
    <n v="90"/>
    <n v="341"/>
    <n v="56988"/>
    <n v="56125"/>
    <n v="135"/>
    <x v="1"/>
    <n v="6.3118551273952397E-2"/>
    <n v="2.3689197725836999E-3"/>
    <n v="3597"/>
    <x v="1"/>
    <x v="0"/>
    <d v="2024-06-10T00:00:00"/>
    <d v="2024-07-05T00:00:00"/>
  </r>
  <r>
    <x v="280"/>
    <x v="1"/>
    <d v="2025-03-22T00:00:00"/>
    <x v="4"/>
    <x v="4"/>
    <n v="3166"/>
    <n v="90"/>
    <n v="341"/>
    <n v="56988"/>
    <n v="56125"/>
    <n v="135"/>
    <x v="1"/>
    <n v="6.3118551273952397E-2"/>
    <n v="2.3689197725836999E-3"/>
    <n v="3597"/>
    <x v="2"/>
    <x v="0"/>
    <d v="2024-06-10T00:00:00"/>
    <d v="2024-07-05T00:00:00"/>
  </r>
  <r>
    <x v="281"/>
    <x v="2"/>
    <d v="2024-10-03T00:00:00"/>
    <x v="5"/>
    <x v="5"/>
    <n v="1488"/>
    <n v="417"/>
    <n v="168"/>
    <n v="19344"/>
    <n v="18395"/>
    <n v="30"/>
    <x v="0"/>
    <n v="0.10716501240694799"/>
    <n v="1.55086848635236E-3"/>
    <n v="2073"/>
    <x v="0"/>
    <x v="0"/>
    <d v="2024-08-01T00:00:00"/>
    <d v="2024-08-31T00:00:00"/>
  </r>
  <r>
    <x v="282"/>
    <x v="0"/>
    <d v="2025-05-09T00:00:00"/>
    <x v="0"/>
    <x v="0"/>
    <n v="3367"/>
    <n v="302"/>
    <n v="57"/>
    <n v="63973"/>
    <n v="63789"/>
    <n v="157"/>
    <x v="2"/>
    <n v="5.8243321401216103E-2"/>
    <n v="2.4541603488971902E-3"/>
    <n v="3726"/>
    <x v="3"/>
    <x v="0"/>
    <d v="2024-10-05T00:00:00"/>
    <d v="2024-11-05T00:00:00"/>
  </r>
  <r>
    <x v="282"/>
    <x v="0"/>
    <d v="2025-05-09T00:00:00"/>
    <x v="0"/>
    <x v="0"/>
    <n v="3367"/>
    <n v="302"/>
    <n v="57"/>
    <n v="63973"/>
    <n v="63789"/>
    <n v="157"/>
    <x v="2"/>
    <n v="5.8243321401216103E-2"/>
    <n v="2.4541603488971902E-3"/>
    <n v="3726"/>
    <x v="1"/>
    <x v="0"/>
    <d v="2024-10-05T00:00:00"/>
    <d v="2024-11-05T00:00:00"/>
  </r>
  <r>
    <x v="283"/>
    <x v="0"/>
    <d v="2024-09-17T00:00:00"/>
    <x v="1"/>
    <x v="1"/>
    <n v="571"/>
    <n v="190"/>
    <n v="352"/>
    <n v="9707"/>
    <n v="9418"/>
    <n v="231"/>
    <x v="1"/>
    <n v="0.11465952405480601"/>
    <n v="2.3797259709488001E-2"/>
    <n v="1113"/>
    <x v="4"/>
    <x v="0"/>
    <d v="2024-06-10T00:00:00"/>
    <d v="2024-07-05T00:00:00"/>
  </r>
  <r>
    <x v="284"/>
    <x v="1"/>
    <d v="2024-07-18T00:00:00"/>
    <x v="1"/>
    <x v="1"/>
    <n v="4021"/>
    <n v="794"/>
    <n v="77"/>
    <n v="36189"/>
    <n v="35505"/>
    <n v="174"/>
    <x v="0"/>
    <n v="0.13517919809887"/>
    <n v="4.80809085633756E-3"/>
    <n v="4892"/>
    <x v="4"/>
    <x v="2"/>
    <d v="2024-08-01T00:00:00"/>
    <d v="2024-08-31T00:00:00"/>
  </r>
  <r>
    <x v="284"/>
    <x v="1"/>
    <d v="2024-07-18T00:00:00"/>
    <x v="1"/>
    <x v="1"/>
    <n v="4021"/>
    <n v="794"/>
    <n v="77"/>
    <n v="36189"/>
    <n v="35505"/>
    <n v="174"/>
    <x v="0"/>
    <n v="0.13517919809887"/>
    <n v="4.80809085633756E-3"/>
    <n v="4892"/>
    <x v="2"/>
    <x v="2"/>
    <d v="2024-08-01T00:00:00"/>
    <d v="2024-08-31T00:00:00"/>
  </r>
  <r>
    <x v="285"/>
    <x v="1"/>
    <d v="2024-09-25T00:00:00"/>
    <x v="5"/>
    <x v="5"/>
    <n v="3389"/>
    <n v="344"/>
    <n v="229"/>
    <n v="20334"/>
    <n v="19443"/>
    <n v="228"/>
    <x v="1"/>
    <n v="0.194846070620635"/>
    <n v="1.12127471230451E-2"/>
    <n v="3962"/>
    <x v="1"/>
    <x v="0"/>
    <d v="2024-06-10T00:00:00"/>
    <d v="2024-07-05T00:00:00"/>
  </r>
  <r>
    <x v="285"/>
    <x v="1"/>
    <d v="2024-09-25T00:00:00"/>
    <x v="5"/>
    <x v="5"/>
    <n v="3389"/>
    <n v="344"/>
    <n v="229"/>
    <n v="20334"/>
    <n v="19443"/>
    <n v="228"/>
    <x v="1"/>
    <n v="0.194846070620635"/>
    <n v="1.12127471230451E-2"/>
    <n v="3962"/>
    <x v="0"/>
    <x v="0"/>
    <d v="2024-06-10T00:00:00"/>
    <d v="2024-07-05T00:00:00"/>
  </r>
  <r>
    <x v="286"/>
    <x v="2"/>
    <d v="2024-08-15T00:00:00"/>
    <x v="0"/>
    <x v="0"/>
    <n v="1164"/>
    <n v="616"/>
    <n v="324"/>
    <n v="6984"/>
    <n v="6636"/>
    <n v="82"/>
    <x v="2"/>
    <n v="0.30126002290950699"/>
    <n v="1.1741122565864801E-2"/>
    <n v="2104"/>
    <x v="1"/>
    <x v="0"/>
    <d v="2024-10-05T00:00:00"/>
    <d v="2024-11-05T00:00:00"/>
  </r>
  <r>
    <x v="286"/>
    <x v="2"/>
    <d v="2024-08-15T00:00:00"/>
    <x v="0"/>
    <x v="0"/>
    <n v="1164"/>
    <n v="616"/>
    <n v="324"/>
    <n v="6984"/>
    <n v="6636"/>
    <n v="82"/>
    <x v="2"/>
    <n v="0.30126002290950699"/>
    <n v="1.1741122565864801E-2"/>
    <n v="2104"/>
    <x v="3"/>
    <x v="0"/>
    <d v="2024-10-05T00:00:00"/>
    <d v="2024-11-05T00:00:00"/>
  </r>
  <r>
    <x v="287"/>
    <x v="1"/>
    <d v="2025-04-17T00:00:00"/>
    <x v="3"/>
    <x v="3"/>
    <n v="4780"/>
    <n v="691"/>
    <n v="380"/>
    <n v="86040"/>
    <n v="85743"/>
    <n v="262"/>
    <x v="2"/>
    <n v="6.8003254300325403E-2"/>
    <n v="3.0450953045095298E-3"/>
    <n v="5851"/>
    <x v="1"/>
    <x v="0"/>
    <d v="2024-10-05T00:00:00"/>
    <d v="2024-11-05T00:00:00"/>
  </r>
  <r>
    <x v="287"/>
    <x v="1"/>
    <d v="2025-04-17T00:00:00"/>
    <x v="3"/>
    <x v="3"/>
    <n v="4780"/>
    <n v="691"/>
    <n v="380"/>
    <n v="86040"/>
    <n v="85743"/>
    <n v="262"/>
    <x v="2"/>
    <n v="6.8003254300325403E-2"/>
    <n v="3.0450953045095298E-3"/>
    <n v="5851"/>
    <x v="4"/>
    <x v="0"/>
    <d v="2024-10-05T00:00:00"/>
    <d v="2024-11-05T00:00:00"/>
  </r>
  <r>
    <x v="288"/>
    <x v="3"/>
    <d v="2024-11-28T00:00:00"/>
    <x v="3"/>
    <x v="3"/>
    <n v="2751"/>
    <n v="33"/>
    <n v="430"/>
    <n v="44016"/>
    <n v="43415"/>
    <n v="129"/>
    <x v="1"/>
    <n v="7.3018902217375503E-2"/>
    <n v="2.93075245365322E-3"/>
    <n v="3214"/>
    <x v="3"/>
    <x v="0"/>
    <d v="2024-06-10T00:00:00"/>
    <d v="2024-07-05T00:00:00"/>
  </r>
  <r>
    <x v="288"/>
    <x v="3"/>
    <d v="2024-11-28T00:00:00"/>
    <x v="3"/>
    <x v="3"/>
    <n v="2751"/>
    <n v="33"/>
    <n v="430"/>
    <n v="44016"/>
    <n v="43415"/>
    <n v="129"/>
    <x v="1"/>
    <n v="7.3018902217375503E-2"/>
    <n v="2.93075245365322E-3"/>
    <n v="3214"/>
    <x v="2"/>
    <x v="0"/>
    <d v="2024-06-10T00:00:00"/>
    <d v="2024-07-05T00:00:00"/>
  </r>
  <r>
    <x v="289"/>
    <x v="2"/>
    <d v="2024-12-20T00:00:00"/>
    <x v="3"/>
    <x v="3"/>
    <n v="2107"/>
    <n v="550"/>
    <n v="349"/>
    <n v="35819"/>
    <n v="35340"/>
    <n v="191"/>
    <x v="2"/>
    <n v="8.3921940869371006E-2"/>
    <n v="5.3323655043412696E-3"/>
    <n v="3006"/>
    <x v="3"/>
    <x v="0"/>
    <d v="2024-10-05T00:00:00"/>
    <d v="2024-11-05T00:00:00"/>
  </r>
  <r>
    <x v="290"/>
    <x v="3"/>
    <d v="2024-11-06T00:00:00"/>
    <x v="5"/>
    <x v="5"/>
    <n v="4663"/>
    <n v="145"/>
    <n v="225"/>
    <n v="69945"/>
    <n v="69596"/>
    <n v="35"/>
    <x v="1"/>
    <n v="7.1956537279290897E-2"/>
    <n v="5.0039316605904598E-4"/>
    <n v="5033"/>
    <x v="1"/>
    <x v="0"/>
    <d v="2024-06-10T00:00:00"/>
    <d v="2024-07-05T00:00:00"/>
  </r>
  <r>
    <x v="291"/>
    <x v="3"/>
    <d v="2024-11-17T00:00:00"/>
    <x v="1"/>
    <x v="1"/>
    <n v="880"/>
    <n v="297"/>
    <n v="345"/>
    <n v="12320"/>
    <n v="11978"/>
    <n v="238"/>
    <x v="1"/>
    <n v="0.123538961038961"/>
    <n v="1.93181818181818E-2"/>
    <n v="1522"/>
    <x v="0"/>
    <x v="0"/>
    <d v="2024-06-10T00:00:00"/>
    <d v="2024-07-05T00:00:00"/>
  </r>
  <r>
    <x v="292"/>
    <x v="3"/>
    <d v="2025-05-14T00:00:00"/>
    <x v="1"/>
    <x v="1"/>
    <n v="2634"/>
    <n v="726"/>
    <n v="241"/>
    <n v="28974"/>
    <n v="28102"/>
    <n v="277"/>
    <x v="2"/>
    <n v="0.124283840684752"/>
    <n v="9.5602954372885993E-3"/>
    <n v="3601"/>
    <x v="2"/>
    <x v="0"/>
    <d v="2024-10-05T00:00:00"/>
    <d v="2024-11-05T00:00:00"/>
  </r>
  <r>
    <x v="293"/>
    <x v="3"/>
    <d v="2024-06-19T00:00:00"/>
    <x v="3"/>
    <x v="3"/>
    <n v="4731"/>
    <n v="173"/>
    <n v="276"/>
    <n v="28386"/>
    <n v="28185"/>
    <n v="89"/>
    <x v="3"/>
    <n v="0.182484323257944"/>
    <n v="3.1353484111886101E-3"/>
    <n v="5180"/>
    <x v="3"/>
    <x v="0"/>
    <d v="2025-01-10T00:00:00"/>
    <d v="2025-02-10T00:00:00"/>
  </r>
  <r>
    <x v="293"/>
    <x v="3"/>
    <d v="2024-06-19T00:00:00"/>
    <x v="3"/>
    <x v="3"/>
    <n v="4731"/>
    <n v="173"/>
    <n v="276"/>
    <n v="28386"/>
    <n v="28185"/>
    <n v="89"/>
    <x v="3"/>
    <n v="0.182484323257944"/>
    <n v="3.1353484111886101E-3"/>
    <n v="5180"/>
    <x v="1"/>
    <x v="0"/>
    <d v="2025-01-10T00:00:00"/>
    <d v="2025-02-10T00:00:00"/>
  </r>
  <r>
    <x v="294"/>
    <x v="0"/>
    <d v="2025-05-06T00:00:00"/>
    <x v="4"/>
    <x v="4"/>
    <n v="1952"/>
    <n v="344"/>
    <n v="287"/>
    <n v="15616"/>
    <n v="15403"/>
    <n v="235"/>
    <x v="2"/>
    <n v="0.16540727459016399"/>
    <n v="1.5048668032786899E-2"/>
    <n v="2583"/>
    <x v="0"/>
    <x v="0"/>
    <d v="2024-10-05T00:00:00"/>
    <d v="2024-11-05T00:00:00"/>
  </r>
  <r>
    <x v="294"/>
    <x v="0"/>
    <d v="2025-05-06T00:00:00"/>
    <x v="4"/>
    <x v="4"/>
    <n v="1952"/>
    <n v="344"/>
    <n v="287"/>
    <n v="15616"/>
    <n v="15403"/>
    <n v="235"/>
    <x v="2"/>
    <n v="0.16540727459016399"/>
    <n v="1.5048668032786899E-2"/>
    <n v="2583"/>
    <x v="1"/>
    <x v="0"/>
    <d v="2024-10-05T00:00:00"/>
    <d v="2024-11-05T00:00:00"/>
  </r>
  <r>
    <x v="295"/>
    <x v="0"/>
    <d v="2025-02-11T00:00:00"/>
    <x v="5"/>
    <x v="5"/>
    <n v="3440"/>
    <n v="13"/>
    <n v="20"/>
    <n v="58480"/>
    <n v="58146"/>
    <n v="210"/>
    <x v="0"/>
    <n v="5.9387824897400798E-2"/>
    <n v="3.5909712722298199E-3"/>
    <n v="3473"/>
    <x v="1"/>
    <x v="0"/>
    <d v="2024-08-01T00:00:00"/>
    <d v="2024-08-31T00:00:00"/>
  </r>
  <r>
    <x v="295"/>
    <x v="0"/>
    <d v="2025-02-11T00:00:00"/>
    <x v="5"/>
    <x v="5"/>
    <n v="3440"/>
    <n v="13"/>
    <n v="20"/>
    <n v="58480"/>
    <n v="58146"/>
    <n v="210"/>
    <x v="0"/>
    <n v="5.9387824897400798E-2"/>
    <n v="3.5909712722298199E-3"/>
    <n v="3473"/>
    <x v="4"/>
    <x v="0"/>
    <d v="2024-08-01T00:00:00"/>
    <d v="2024-08-31T00:00:00"/>
  </r>
  <r>
    <x v="296"/>
    <x v="0"/>
    <d v="2024-12-24T00:00:00"/>
    <x v="1"/>
    <x v="1"/>
    <n v="2166"/>
    <n v="354"/>
    <n v="117"/>
    <n v="10830"/>
    <n v="10245"/>
    <n v="24"/>
    <x v="0"/>
    <n v="0.24349030470914099"/>
    <n v="2.21606648199446E-3"/>
    <n v="2637"/>
    <x v="2"/>
    <x v="0"/>
    <d v="2024-08-01T00:00:00"/>
    <d v="2024-08-31T00:00:00"/>
  </r>
  <r>
    <x v="296"/>
    <x v="0"/>
    <d v="2024-12-24T00:00:00"/>
    <x v="1"/>
    <x v="1"/>
    <n v="2166"/>
    <n v="354"/>
    <n v="117"/>
    <n v="10830"/>
    <n v="10245"/>
    <n v="24"/>
    <x v="0"/>
    <n v="0.24349030470914099"/>
    <n v="2.21606648199446E-3"/>
    <n v="2637"/>
    <x v="3"/>
    <x v="0"/>
    <d v="2024-08-01T00:00:00"/>
    <d v="2024-08-31T00:00:00"/>
  </r>
  <r>
    <x v="297"/>
    <x v="3"/>
    <d v="2024-10-24T00:00:00"/>
    <x v="4"/>
    <x v="4"/>
    <n v="4303"/>
    <n v="451"/>
    <n v="286"/>
    <n v="86060"/>
    <n v="85823"/>
    <n v="14"/>
    <x v="1"/>
    <n v="5.8563792702765502E-2"/>
    <n v="1.6267720195212599E-4"/>
    <n v="5040"/>
    <x v="0"/>
    <x v="0"/>
    <d v="2024-06-10T00:00:00"/>
    <d v="2024-07-05T00:00:00"/>
  </r>
  <r>
    <x v="298"/>
    <x v="3"/>
    <d v="2024-08-26T00:00:00"/>
    <x v="4"/>
    <x v="4"/>
    <n v="2581"/>
    <n v="517"/>
    <n v="117"/>
    <n v="23229"/>
    <n v="22331"/>
    <n v="70"/>
    <x v="1"/>
    <n v="0.138404580481295"/>
    <n v="3.0134745361401699E-3"/>
    <n v="3215"/>
    <x v="0"/>
    <x v="0"/>
    <d v="2024-06-10T00:00:00"/>
    <d v="2024-07-05T00:00:00"/>
  </r>
  <r>
    <x v="298"/>
    <x v="3"/>
    <d v="2024-08-26T00:00:00"/>
    <x v="4"/>
    <x v="4"/>
    <n v="2581"/>
    <n v="517"/>
    <n v="117"/>
    <n v="23229"/>
    <n v="22331"/>
    <n v="70"/>
    <x v="1"/>
    <n v="0.138404580481295"/>
    <n v="3.0134745361401699E-3"/>
    <n v="3215"/>
    <x v="2"/>
    <x v="0"/>
    <d v="2024-06-10T00:00:00"/>
    <d v="2024-07-05T00:00:00"/>
  </r>
  <r>
    <x v="299"/>
    <x v="0"/>
    <d v="2024-08-31T00:00:00"/>
    <x v="3"/>
    <x v="3"/>
    <n v="4494"/>
    <n v="717"/>
    <n v="45"/>
    <n v="62916"/>
    <n v="62688"/>
    <n v="191"/>
    <x v="0"/>
    <n v="8.3539958039290499E-2"/>
    <n v="3.0357937567550399E-3"/>
    <n v="5256"/>
    <x v="1"/>
    <x v="1"/>
    <d v="2024-08-01T00:00:00"/>
    <d v="2024-08-3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2A9EE0-A4D8-40C3-A167-A90B13A4721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L2:Q16" firstHeaderRow="1" firstDataRow="2" firstDataCol="1"/>
  <pivotFields count="10">
    <pivotField numFmtId="14" showAll="0"/>
    <pivotField axis="axisCol" showAll="0">
      <items count="5">
        <item x="0"/>
        <item x="1"/>
        <item x="2"/>
        <item x="3"/>
        <item t="default"/>
      </items>
    </pivotField>
    <pivotField showAll="0"/>
    <pivotField showAll="0"/>
    <pivotField showAll="0"/>
    <pivotField showAll="0"/>
    <pivotField showAll="0"/>
    <pivotField dataField="1" showAll="0"/>
    <pivotField axis="axisRow" showAll="0">
      <items count="13">
        <item x="11"/>
        <item x="10"/>
        <item x="9"/>
        <item x="8"/>
        <item x="7"/>
        <item x="6"/>
        <item x="5"/>
        <item x="4"/>
        <item x="3"/>
        <item x="2"/>
        <item x="1"/>
        <item x="0"/>
        <item t="default"/>
      </items>
    </pivotField>
    <pivotField showAll="0"/>
  </pivotFields>
  <rowFields count="1">
    <field x="8"/>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Sum of Net_follower/Week" fld="7" baseField="0" baseItem="0"/>
  </dataFields>
  <chartFormats count="4">
    <chartFormat chart="10" format="24" series="1">
      <pivotArea type="data" outline="0" fieldPosition="0">
        <references count="2">
          <reference field="4294967294" count="1" selected="0">
            <x v="0"/>
          </reference>
          <reference field="1" count="1" selected="0">
            <x v="0"/>
          </reference>
        </references>
      </pivotArea>
    </chartFormat>
    <chartFormat chart="10" format="25" series="1">
      <pivotArea type="data" outline="0" fieldPosition="0">
        <references count="2">
          <reference field="4294967294" count="1" selected="0">
            <x v="0"/>
          </reference>
          <reference field="1" count="1" selected="0">
            <x v="1"/>
          </reference>
        </references>
      </pivotArea>
    </chartFormat>
    <chartFormat chart="10" format="26" series="1">
      <pivotArea type="data" outline="0" fieldPosition="0">
        <references count="2">
          <reference field="4294967294" count="1" selected="0">
            <x v="0"/>
          </reference>
          <reference field="1" count="1" selected="0">
            <x v="2"/>
          </reference>
        </references>
      </pivotArea>
    </chartFormat>
    <chartFormat chart="10" format="27"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E494FA-E687-4635-95D4-8F308C8116DC}"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8:I77" firstHeaderRow="0" firstDataRow="1" firstDataCol="1"/>
  <pivotFields count="19">
    <pivotField showAll="0"/>
    <pivotField axis="axisRow" showAll="0">
      <items count="5">
        <item x="3"/>
        <item x="2"/>
        <item x="0"/>
        <item x="1"/>
        <item t="default"/>
      </items>
    </pivotField>
    <pivotField numFmtId="164" showAll="0"/>
    <pivotField axis="axisRow" showAll="0">
      <items count="7">
        <item x="3"/>
        <item x="4"/>
        <item x="0"/>
        <item x="2"/>
        <item x="1"/>
        <item x="5"/>
        <item t="default"/>
      </items>
    </pivotField>
    <pivotField showAll="0"/>
    <pivotField dataField="1" showAll="0"/>
    <pivotField dataField="1" showAll="0"/>
    <pivotField dataField="1" showAll="0"/>
    <pivotField showAll="0"/>
    <pivotField showAll="0"/>
    <pivotField showAll="0"/>
    <pivotField showAll="0"/>
    <pivotField numFmtId="165" showAll="0"/>
    <pivotField numFmtId="10" showAll="0"/>
    <pivotField showAll="0"/>
    <pivotField showAll="0"/>
    <pivotField showAll="0"/>
    <pivotField numFmtId="164" showAll="0"/>
    <pivotField numFmtId="164" showAll="0"/>
  </pivotFields>
  <rowFields count="2">
    <field x="1"/>
    <field x="3"/>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Fields count="1">
    <field x="-2"/>
  </colFields>
  <colItems count="3">
    <i>
      <x/>
    </i>
    <i i="1">
      <x v="1"/>
    </i>
    <i i="2">
      <x v="2"/>
    </i>
  </colItems>
  <dataFields count="3">
    <dataField name="Sum of Likes" fld="5" baseField="0" baseItem="0"/>
    <dataField name="Sum of Shares" fld="6" baseField="0" baseItem="0"/>
    <dataField name="Sum of Comments" fld="7" baseField="0" baseItem="0"/>
  </dataFields>
  <formats count="3">
    <format dxfId="99">
      <pivotArea collapsedLevelsAreSubtotals="1" fieldPosition="0">
        <references count="1">
          <reference field="1" count="1">
            <x v="0"/>
          </reference>
        </references>
      </pivotArea>
    </format>
    <format dxfId="98">
      <pivotArea outline="0" collapsedLevelsAreSubtotals="1" fieldPosition="0"/>
    </format>
    <format dxfId="97">
      <pivotArea dataOnly="0" labelOnly="1" outline="0" fieldPosition="0">
        <references count="1">
          <reference field="4294967294" count="3">
            <x v="0"/>
            <x v="1"/>
            <x v="2"/>
          </reference>
        </references>
      </pivotArea>
    </format>
  </formats>
  <conditionalFormats count="12">
    <conditionalFormat priority="14">
      <pivotAreas count="1">
        <pivotArea type="data" collapsedLevelsAreSubtotals="1" fieldPosition="0">
          <references count="3">
            <reference field="4294967294" count="1" selected="0">
              <x v="0"/>
            </reference>
            <reference field="1" count="1" selected="0">
              <x v="0"/>
            </reference>
            <reference field="3" count="6">
              <x v="0"/>
              <x v="1"/>
              <x v="2"/>
              <x v="3"/>
              <x v="4"/>
              <x v="5"/>
            </reference>
          </references>
        </pivotArea>
      </pivotAreas>
    </conditionalFormat>
    <conditionalFormat priority="13">
      <pivotAreas count="1">
        <pivotArea type="data" collapsedLevelsAreSubtotals="1" fieldPosition="0">
          <references count="3">
            <reference field="4294967294" count="1" selected="0">
              <x v="1"/>
            </reference>
            <reference field="1" count="1" selected="0">
              <x v="0"/>
            </reference>
            <reference field="3" count="6">
              <x v="0"/>
              <x v="1"/>
              <x v="2"/>
              <x v="3"/>
              <x v="4"/>
              <x v="5"/>
            </reference>
          </references>
        </pivotArea>
      </pivotAreas>
    </conditionalFormat>
    <conditionalFormat priority="12">
      <pivotAreas count="1">
        <pivotArea type="data" collapsedLevelsAreSubtotals="1" fieldPosition="0">
          <references count="3">
            <reference field="4294967294" count="1" selected="0">
              <x v="2"/>
            </reference>
            <reference field="1" count="1" selected="0">
              <x v="0"/>
            </reference>
            <reference field="3" count="6">
              <x v="0"/>
              <x v="1"/>
              <x v="2"/>
              <x v="3"/>
              <x v="4"/>
              <x v="5"/>
            </reference>
          </references>
        </pivotArea>
      </pivotAreas>
    </conditionalFormat>
    <conditionalFormat priority="11">
      <pivotAreas count="1">
        <pivotArea type="data" collapsedLevelsAreSubtotals="1" fieldPosition="0">
          <references count="3">
            <reference field="4294967294" count="1" selected="0">
              <x v="0"/>
            </reference>
            <reference field="1" count="1" selected="0">
              <x v="1"/>
            </reference>
            <reference field="3" count="6">
              <x v="0"/>
              <x v="1"/>
              <x v="2"/>
              <x v="3"/>
              <x v="4"/>
              <x v="5"/>
            </reference>
          </references>
        </pivotArea>
      </pivotAreas>
    </conditionalFormat>
    <conditionalFormat priority="10">
      <pivotAreas count="1">
        <pivotArea type="data" collapsedLevelsAreSubtotals="1" fieldPosition="0">
          <references count="3">
            <reference field="4294967294" count="1" selected="0">
              <x v="1"/>
            </reference>
            <reference field="1" count="1" selected="0">
              <x v="1"/>
            </reference>
            <reference field="3" count="6">
              <x v="0"/>
              <x v="1"/>
              <x v="2"/>
              <x v="3"/>
              <x v="4"/>
              <x v="5"/>
            </reference>
          </references>
        </pivotArea>
      </pivotAreas>
    </conditionalFormat>
    <conditionalFormat priority="9">
      <pivotAreas count="1">
        <pivotArea type="data" collapsedLevelsAreSubtotals="1" fieldPosition="0">
          <references count="3">
            <reference field="4294967294" count="1" selected="0">
              <x v="2"/>
            </reference>
            <reference field="1" count="1" selected="0">
              <x v="1"/>
            </reference>
            <reference field="3" count="6">
              <x v="0"/>
              <x v="1"/>
              <x v="2"/>
              <x v="3"/>
              <x v="4"/>
              <x v="5"/>
            </reference>
          </references>
        </pivotArea>
      </pivotAreas>
    </conditionalFormat>
    <conditionalFormat priority="8">
      <pivotAreas count="1">
        <pivotArea type="data" collapsedLevelsAreSubtotals="1" fieldPosition="0">
          <references count="3">
            <reference field="4294967294" count="1" selected="0">
              <x v="0"/>
            </reference>
            <reference field="1" count="1" selected="0">
              <x v="2"/>
            </reference>
            <reference field="3" count="6">
              <x v="0"/>
              <x v="1"/>
              <x v="2"/>
              <x v="3"/>
              <x v="4"/>
              <x v="5"/>
            </reference>
          </references>
        </pivotArea>
      </pivotAreas>
    </conditionalFormat>
    <conditionalFormat priority="7">
      <pivotAreas count="1">
        <pivotArea type="data" collapsedLevelsAreSubtotals="1" fieldPosition="0">
          <references count="3">
            <reference field="4294967294" count="1" selected="0">
              <x v="1"/>
            </reference>
            <reference field="1" count="1" selected="0">
              <x v="2"/>
            </reference>
            <reference field="3" count="6">
              <x v="0"/>
              <x v="1"/>
              <x v="2"/>
              <x v="3"/>
              <x v="4"/>
              <x v="5"/>
            </reference>
          </references>
        </pivotArea>
      </pivotAreas>
    </conditionalFormat>
    <conditionalFormat priority="6">
      <pivotAreas count="1">
        <pivotArea type="data" collapsedLevelsAreSubtotals="1" fieldPosition="0">
          <references count="3">
            <reference field="4294967294" count="1" selected="0">
              <x v="2"/>
            </reference>
            <reference field="1" count="1" selected="0">
              <x v="2"/>
            </reference>
            <reference field="3" count="6">
              <x v="0"/>
              <x v="1"/>
              <x v="2"/>
              <x v="3"/>
              <x v="4"/>
              <x v="5"/>
            </reference>
          </references>
        </pivotArea>
      </pivotAreas>
    </conditionalFormat>
    <conditionalFormat priority="5">
      <pivotAreas count="1">
        <pivotArea type="data" collapsedLevelsAreSubtotals="1" fieldPosition="0">
          <references count="3">
            <reference field="4294967294" count="1" selected="0">
              <x v="2"/>
            </reference>
            <reference field="1" count="1" selected="0">
              <x v="3"/>
            </reference>
            <reference field="3" count="6">
              <x v="0"/>
              <x v="1"/>
              <x v="2"/>
              <x v="3"/>
              <x v="4"/>
              <x v="5"/>
            </reference>
          </references>
        </pivotArea>
      </pivotAreas>
    </conditionalFormat>
    <conditionalFormat priority="4">
      <pivotAreas count="1">
        <pivotArea type="data" collapsedLevelsAreSubtotals="1" fieldPosition="0">
          <references count="3">
            <reference field="4294967294" count="1" selected="0">
              <x v="1"/>
            </reference>
            <reference field="1" count="1" selected="0">
              <x v="3"/>
            </reference>
            <reference field="3" count="6">
              <x v="0"/>
              <x v="1"/>
              <x v="2"/>
              <x v="3"/>
              <x v="4"/>
              <x v="5"/>
            </reference>
          </references>
        </pivotArea>
      </pivotAreas>
    </conditionalFormat>
    <conditionalFormat priority="3">
      <pivotAreas count="1">
        <pivotArea type="data" collapsedLevelsAreSubtotals="1" fieldPosition="0">
          <references count="3">
            <reference field="4294967294" count="1" selected="0">
              <x v="0"/>
            </reference>
            <reference field="1" count="1" selected="0">
              <x v="3"/>
            </reference>
            <reference field="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26B312-5215-4B25-AAAC-6A63211552EB}"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27:G38" firstHeaderRow="1" firstDataRow="1" firstDataCol="1" rowPageCount="2" colPageCount="1"/>
  <pivotFields count="19">
    <pivotField axis="axisRow" showAll="0" measureFilter="1" sortType="descending">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axis="axisPage" multipleItemSelectionAllowed="1" showAll="0">
      <items count="7">
        <item x="3"/>
        <item x="4"/>
        <item x="0"/>
        <item x="2"/>
        <item x="1"/>
        <item x="5"/>
        <item t="default"/>
      </items>
    </pivotField>
    <pivotField showAll="0"/>
    <pivotField showAll="0"/>
    <pivotField showAll="0"/>
    <pivotField showAll="0"/>
    <pivotField showAll="0"/>
    <pivotField showAll="0"/>
    <pivotField showAll="0"/>
    <pivotField dataField="1" numFmtId="10" showAll="0"/>
    <pivotField numFmtId="10" showAll="0"/>
    <pivotField showAll="0"/>
    <pivotField axis="axisPage" multipleItemSelectionAllowed="1" showAll="0">
      <items count="16">
        <item h="1" m="1" x="9"/>
        <item h="1" m="1" x="14"/>
        <item m="1" x="6"/>
        <item m="1" x="10"/>
        <item m="1" x="5"/>
        <item m="1" x="12"/>
        <item m="1" x="8"/>
        <item m="1" x="13"/>
        <item m="1" x="7"/>
        <item m="1" x="11"/>
        <item x="0"/>
        <item x="1"/>
        <item x="2"/>
        <item x="3"/>
        <item x="4"/>
        <item t="default"/>
      </items>
    </pivotField>
    <pivotField showAll="0"/>
    <pivotField numFmtId="164" showAll="0"/>
    <pivotField numFmtId="164" showAll="0"/>
  </pivotFields>
  <rowFields count="1">
    <field x="0"/>
  </rowFields>
  <rowItems count="11">
    <i>
      <x v="219"/>
    </i>
    <i>
      <x v="57"/>
    </i>
    <i>
      <x v="231"/>
    </i>
    <i>
      <x v="177"/>
    </i>
    <i>
      <x v="174"/>
    </i>
    <i>
      <x v="61"/>
    </i>
    <i>
      <x v="263"/>
    </i>
    <i>
      <x v="142"/>
    </i>
    <i>
      <x v="209"/>
    </i>
    <i>
      <x v="69"/>
    </i>
    <i t="grand">
      <x/>
    </i>
  </rowItems>
  <colItems count="1">
    <i/>
  </colItems>
  <pageFields count="2">
    <pageField fld="15" hier="-1"/>
    <pageField fld="4" hier="-1"/>
  </pageFields>
  <dataFields count="1">
    <dataField name="Avg Engagement" fld="12" subtotal="average" baseField="0" baseItem="219" numFmtId="10"/>
  </dataFields>
  <formats count="1">
    <format dxfId="10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70DE5C-E216-483B-91FB-0D90BDD1988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G15" firstHeaderRow="1" firstDataRow="1" firstDataCol="1"/>
  <pivotFields count="19">
    <pivotField showAll="0"/>
    <pivotField axis="axisRow" showAll="0">
      <items count="5">
        <item x="3"/>
        <item x="2"/>
        <item x="0"/>
        <item x="1"/>
        <item t="default"/>
      </items>
    </pivotField>
    <pivotField numFmtId="164" showAll="0"/>
    <pivotField showAll="0"/>
    <pivotField showAll="0"/>
    <pivotField showAll="0"/>
    <pivotField showAll="0"/>
    <pivotField showAll="0"/>
    <pivotField showAll="0"/>
    <pivotField showAll="0"/>
    <pivotField showAll="0"/>
    <pivotField showAll="0"/>
    <pivotField dataField="1" numFmtId="10" showAll="0"/>
    <pivotField numFmtId="10" showAll="0"/>
    <pivotField showAll="0"/>
    <pivotField showAll="0"/>
    <pivotField showAll="0"/>
    <pivotField numFmtId="164" showAll="0"/>
    <pivotField numFmtId="164" showAll="0"/>
  </pivotFields>
  <rowFields count="1">
    <field x="1"/>
  </rowFields>
  <rowItems count="5">
    <i>
      <x/>
    </i>
    <i>
      <x v="1"/>
    </i>
    <i>
      <x v="2"/>
    </i>
    <i>
      <x v="3"/>
    </i>
    <i t="grand">
      <x/>
    </i>
  </rowItems>
  <colItems count="1">
    <i/>
  </colItems>
  <dataFields count="1">
    <dataField name="Avg Engagement" fld="12" subtotal="average" baseField="1" baseItem="0" numFmtId="10"/>
  </dataFields>
  <formats count="1">
    <format dxfId="101">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07CA48-7ADE-43EC-8871-1464DE0DA135}"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07:J113" firstHeaderRow="0" firstDataRow="1" firstDataCol="1" rowPageCount="3" colPageCount="1"/>
  <pivotFields count="19">
    <pivotField dataField="1" showAll="0"/>
    <pivotField axis="axisPage" multipleItemSelectionAllowed="1" showAll="0">
      <items count="5">
        <item x="3"/>
        <item x="2"/>
        <item x="0"/>
        <item x="1"/>
        <item t="default"/>
      </items>
    </pivotField>
    <pivotField numFmtId="164" showAll="0"/>
    <pivotField axis="axisPage" multipleItemSelectionAllowed="1" showAll="0">
      <items count="7">
        <item x="3"/>
        <item x="4"/>
        <item x="0"/>
        <item x="2"/>
        <item x="1"/>
        <item x="5"/>
        <item t="default"/>
      </items>
    </pivotField>
    <pivotField showAll="0"/>
    <pivotField showAll="0"/>
    <pivotField showAll="0"/>
    <pivotField showAll="0"/>
    <pivotField showAll="0"/>
    <pivotField showAll="0"/>
    <pivotField dataField="1" showAll="0"/>
    <pivotField axis="axisPage" multipleItemSelectionAllowed="1" showAll="0">
      <items count="5">
        <item x="1"/>
        <item x="0"/>
        <item x="2"/>
        <item x="3"/>
        <item t="default"/>
      </items>
    </pivotField>
    <pivotField dataField="1" numFmtId="10" showAll="0"/>
    <pivotField dataField="1" numFmtId="10" showAll="0"/>
    <pivotField showAll="0"/>
    <pivotField axis="axisRow" showAll="0" sortType="descending">
      <items count="16">
        <item m="1" x="9"/>
        <item m="1" x="14"/>
        <item m="1" x="6"/>
        <item m="1" x="10"/>
        <item m="1" x="5"/>
        <item m="1" x="12"/>
        <item m="1" x="8"/>
        <item m="1" x="13"/>
        <item m="1" x="7"/>
        <item m="1" x="11"/>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s>
  <rowFields count="1">
    <field x="15"/>
  </rowFields>
  <rowItems count="6">
    <i>
      <x v="13"/>
    </i>
    <i>
      <x v="14"/>
    </i>
    <i>
      <x v="10"/>
    </i>
    <i>
      <x v="12"/>
    </i>
    <i>
      <x v="11"/>
    </i>
    <i t="grand">
      <x/>
    </i>
  </rowItems>
  <colFields count="1">
    <field x="-2"/>
  </colFields>
  <colItems count="4">
    <i>
      <x/>
    </i>
    <i i="1">
      <x v="1"/>
    </i>
    <i i="2">
      <x v="2"/>
    </i>
    <i i="3">
      <x v="3"/>
    </i>
  </colItems>
  <pageFields count="3">
    <pageField fld="1" hier="-1"/>
    <pageField fld="3" hier="-1"/>
    <pageField fld="11" hier="-1"/>
  </pageFields>
  <dataFields count="4">
    <dataField name="Avg Clicks" fld="10" subtotal="average" baseField="15" baseItem="12" numFmtId="2"/>
    <dataField name="Avg CTR" fld="13" subtotal="average" baseField="15" baseItem="12" numFmtId="10"/>
    <dataField name="Avg Engagement" fld="12" subtotal="average" baseField="15" baseItem="12" numFmtId="10"/>
    <dataField name="Post count" fld="0" subtotal="count" baseField="0" baseItem="0"/>
  </dataFields>
  <formats count="2">
    <format dxfId="103">
      <pivotArea outline="0" collapsedLevelsAreSubtotals="1" fieldPosition="0"/>
    </format>
    <format dxfId="102">
      <pivotArea dataOnly="0" labelOnly="1" outline="0" fieldPosition="0">
        <references count="1">
          <reference field="4294967294" count="4">
            <x v="0"/>
            <x v="1"/>
            <x v="2"/>
            <x v="3"/>
          </reference>
        </references>
      </pivotArea>
    </format>
  </formats>
  <conditionalFormats count="5">
    <conditionalFormat priority="21">
      <pivotAreas count="1">
        <pivotArea type="data" grandRow="1" outline="0" collapsedLevelsAreSubtotals="1" fieldPosition="0">
          <references count="1">
            <reference field="4294967294" count="1" selected="0">
              <x v="2"/>
            </reference>
          </references>
        </pivotArea>
      </pivotAreas>
    </conditionalFormat>
    <conditionalFormat priority="20">
      <pivotAreas count="1">
        <pivotArea type="data" grandRow="1" outline="0" collapsedLevelsAreSubtotals="1" fieldPosition="0">
          <references count="1">
            <reference field="4294967294" count="1" selected="0">
              <x v="0"/>
            </reference>
          </references>
        </pivotArea>
      </pivotAreas>
    </conditionalFormat>
    <conditionalFormat priority="16">
      <pivotAreas count="1">
        <pivotArea type="data" collapsedLevelsAreSubtotals="1" fieldPosition="0">
          <references count="2">
            <reference field="4294967294" count="1" selected="0">
              <x v="0"/>
            </reference>
            <reference field="15" count="5">
              <x v="10"/>
              <x v="11"/>
              <x v="12"/>
              <x v="13"/>
              <x v="14"/>
            </reference>
          </references>
        </pivotArea>
      </pivotAreas>
    </conditionalFormat>
    <conditionalFormat priority="15">
      <pivotAreas count="1">
        <pivotArea type="data" collapsedLevelsAreSubtotals="1" fieldPosition="0">
          <references count="2">
            <reference field="4294967294" count="1" selected="0">
              <x v="2"/>
            </reference>
            <reference field="15" count="5">
              <x v="10"/>
              <x v="11"/>
              <x v="12"/>
              <x v="13"/>
              <x v="14"/>
            </reference>
          </references>
        </pivotArea>
      </pivotAreas>
    </conditionalFormat>
    <conditionalFormat priority="1">
      <pivotAreas count="1">
        <pivotArea type="data" collapsedLevelsAreSubtotals="1" fieldPosition="0">
          <references count="2">
            <reference field="4294967294" count="1" selected="0">
              <x v="1"/>
            </reference>
            <reference field="15" count="5">
              <x v="10"/>
              <x v="11"/>
              <x v="12"/>
              <x v="13"/>
              <x v="14"/>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19362F-DA12-4C92-8B58-CEDCAE82C43A}"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7:H93" firstHeaderRow="0" firstDataRow="1" firstDataCol="1"/>
  <pivotFields count="19">
    <pivotField dataField="1" showAll="0"/>
    <pivotField showAll="0"/>
    <pivotField numFmtId="164" showAll="0"/>
    <pivotField showAll="0"/>
    <pivotField showAll="0"/>
    <pivotField showAll="0"/>
    <pivotField showAll="0"/>
    <pivotField showAll="0"/>
    <pivotField showAll="0"/>
    <pivotField showAll="0"/>
    <pivotField dataField="1" showAll="0"/>
    <pivotField showAll="0"/>
    <pivotField numFmtId="10" showAll="0"/>
    <pivotField numFmtId="10" showAll="0"/>
    <pivotField showAll="0"/>
    <pivotField axis="axisRow" showAll="0">
      <items count="16">
        <item m="1" x="9"/>
        <item m="1" x="14"/>
        <item m="1" x="6"/>
        <item m="1" x="10"/>
        <item m="1" x="5"/>
        <item m="1" x="12"/>
        <item m="1" x="8"/>
        <item m="1" x="13"/>
        <item m="1" x="7"/>
        <item m="1" x="11"/>
        <item x="0"/>
        <item x="1"/>
        <item x="2"/>
        <item x="3"/>
        <item x="4"/>
        <item t="default"/>
      </items>
    </pivotField>
    <pivotField showAll="0"/>
    <pivotField numFmtId="164" showAll="0"/>
    <pivotField numFmtId="164" showAll="0"/>
  </pivotFields>
  <rowFields count="1">
    <field x="15"/>
  </rowFields>
  <rowItems count="6">
    <i>
      <x v="10"/>
    </i>
    <i>
      <x v="11"/>
    </i>
    <i>
      <x v="12"/>
    </i>
    <i>
      <x v="13"/>
    </i>
    <i>
      <x v="14"/>
    </i>
    <i t="grand">
      <x/>
    </i>
  </rowItems>
  <colFields count="1">
    <field x="-2"/>
  </colFields>
  <colItems count="2">
    <i>
      <x/>
    </i>
    <i i="1">
      <x v="1"/>
    </i>
  </colItems>
  <dataFields count="2">
    <dataField name="Avg Clicks" fld="10" subtotal="average" baseField="15" baseItem="0"/>
    <dataField name="Post Count" fld="0" subtotal="count" baseField="0" baseItem="0"/>
  </dataFields>
  <formats count="3">
    <format dxfId="106">
      <pivotArea collapsedLevelsAreSubtotals="1" fieldPosition="0">
        <references count="2">
          <reference field="4294967294" count="1" selected="0">
            <x v="0"/>
          </reference>
          <reference field="15" count="0"/>
        </references>
      </pivotArea>
    </format>
    <format dxfId="105">
      <pivotArea field="15" grandRow="1" outline="0" collapsedLevelsAreSubtotals="1" axis="axisRow" fieldPosition="0">
        <references count="1">
          <reference field="4294967294" count="1" selected="0">
            <x v="0"/>
          </reference>
        </references>
      </pivotArea>
    </format>
    <format dxfId="10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0E2DC6-E913-41A6-8C8A-03248FB155B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9:K17" firstHeaderRow="1" firstDataRow="2" firstDataCol="1"/>
  <pivotFields count="19">
    <pivotField showAll="0"/>
    <pivotField axis="axisCol" showAll="0">
      <items count="5">
        <item x="3"/>
        <item x="2"/>
        <item x="0"/>
        <item x="1"/>
        <item t="default"/>
      </items>
    </pivotField>
    <pivotField numFmtId="164" showAll="0"/>
    <pivotField axis="axisRow" showAll="0">
      <items count="7">
        <item x="3"/>
        <item x="4"/>
        <item x="0"/>
        <item x="2"/>
        <item x="1"/>
        <item x="5"/>
        <item t="default"/>
      </items>
    </pivotField>
    <pivotField showAll="0"/>
    <pivotField showAll="0"/>
    <pivotField showAll="0"/>
    <pivotField showAll="0"/>
    <pivotField showAll="0"/>
    <pivotField showAll="0"/>
    <pivotField showAll="0"/>
    <pivotField showAll="0"/>
    <pivotField dataField="1" numFmtId="10" showAll="0"/>
    <pivotField numFmtId="10" showAll="0"/>
    <pivotField showAll="0"/>
    <pivotField showAll="0"/>
    <pivotField showAll="0"/>
    <pivotField numFmtId="164" showAll="0"/>
    <pivotField numFmtId="164" showAll="0"/>
  </pivotFields>
  <rowFields count="1">
    <field x="3"/>
  </rowFields>
  <rowItems count="7">
    <i>
      <x/>
    </i>
    <i>
      <x v="1"/>
    </i>
    <i>
      <x v="2"/>
    </i>
    <i>
      <x v="3"/>
    </i>
    <i>
      <x v="4"/>
    </i>
    <i>
      <x v="5"/>
    </i>
    <i t="grand">
      <x/>
    </i>
  </rowItems>
  <colFields count="1">
    <field x="1"/>
  </colFields>
  <colItems count="5">
    <i>
      <x/>
    </i>
    <i>
      <x v="1"/>
    </i>
    <i>
      <x v="2"/>
    </i>
    <i>
      <x v="3"/>
    </i>
    <i t="grand">
      <x/>
    </i>
  </colItems>
  <dataFields count="1">
    <dataField name="Avg Engagement" fld="12" subtotal="average" baseField="1" baseItem="0" numFmtId="10"/>
  </dataFields>
  <formats count="4">
    <format dxfId="96">
      <pivotArea dataOnly="0" labelOnly="1" outline="0" axis="axisValues" fieldPosition="0"/>
    </format>
    <format dxfId="95">
      <pivotArea outline="0" collapsedLevelsAreSubtotals="1" fieldPosition="0"/>
    </format>
    <format dxfId="94">
      <pivotArea dataOnly="0" labelOnly="1" fieldPosition="0">
        <references count="1">
          <reference field="1" count="0"/>
        </references>
      </pivotArea>
    </format>
    <format dxfId="93">
      <pivotArea dataOnly="0" labelOnly="1" grandCol="1" outline="0" fieldPosition="0"/>
    </format>
  </formats>
  <conditionalFormats count="5">
    <conditionalFormat priority="1">
      <pivotAreas count="1">
        <pivotArea type="data" grandCol="1" collapsedLevelsAreSubtotals="1" fieldPosition="0">
          <references count="2">
            <reference field="4294967294" count="1" selected="0">
              <x v="0"/>
            </reference>
            <reference field="3" count="6">
              <x v="0"/>
              <x v="1"/>
              <x v="2"/>
              <x v="3"/>
              <x v="4"/>
              <x v="5"/>
            </reference>
          </references>
        </pivotArea>
      </pivotAreas>
    </conditionalFormat>
    <conditionalFormat priority="2">
      <pivotAreas count="1">
        <pivotArea type="data" collapsedLevelsAreSubtotals="1" fieldPosition="0">
          <references count="3">
            <reference field="4294967294" count="1" selected="0">
              <x v="0"/>
            </reference>
            <reference field="1" count="1" selected="0">
              <x v="3"/>
            </reference>
            <reference field="3" count="6">
              <x v="0"/>
              <x v="1"/>
              <x v="2"/>
              <x v="3"/>
              <x v="4"/>
              <x v="5"/>
            </reference>
          </references>
        </pivotArea>
      </pivotAreas>
    </conditionalFormat>
    <conditionalFormat priority="3">
      <pivotAreas count="1">
        <pivotArea type="data" collapsedLevelsAreSubtotals="1" fieldPosition="0">
          <references count="3">
            <reference field="4294967294" count="1" selected="0">
              <x v="0"/>
            </reference>
            <reference field="1" count="1" selected="0">
              <x v="2"/>
            </reference>
            <reference field="3" count="6">
              <x v="0"/>
              <x v="1"/>
              <x v="2"/>
              <x v="3"/>
              <x v="4"/>
              <x v="5"/>
            </reference>
          </references>
        </pivotArea>
      </pivotAreas>
    </conditionalFormat>
    <conditionalFormat priority="4">
      <pivotAreas count="1">
        <pivotArea type="data" collapsedLevelsAreSubtotals="1" fieldPosition="0">
          <references count="3">
            <reference field="4294967294" count="1" selected="0">
              <x v="0"/>
            </reference>
            <reference field="1" count="1" selected="0">
              <x v="1"/>
            </reference>
            <reference field="3" count="6">
              <x v="0"/>
              <x v="1"/>
              <x v="2"/>
              <x v="3"/>
              <x v="4"/>
              <x v="5"/>
            </reference>
          </references>
        </pivotArea>
      </pivotAreas>
    </conditionalFormat>
    <conditionalFormat priority="5">
      <pivotAreas count="1">
        <pivotArea type="data" collapsedLevelsAreSubtotals="1" fieldPosition="0">
          <references count="3">
            <reference field="4294967294" count="1" selected="0">
              <x v="0"/>
            </reference>
            <reference field="1" count="1" selected="0">
              <x v="0"/>
            </reference>
            <reference field="3" count="6">
              <x v="0"/>
              <x v="1"/>
              <x v="2"/>
              <x v="3"/>
              <x v="4"/>
              <x v="5"/>
            </reference>
          </references>
        </pivotArea>
      </pivotAreas>
    </conditionalFormat>
  </conditional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09D883-1545-4212-853B-715CA8C20D64}"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I31" firstHeaderRow="0" firstDataRow="1" firstDataCol="1"/>
  <pivotFields count="19">
    <pivotField dataField="1" showAll="0"/>
    <pivotField showAll="0"/>
    <pivotField numFmtId="164" showAll="0"/>
    <pivotField showAll="0"/>
    <pivotField showAll="0"/>
    <pivotField showAll="0"/>
    <pivotField showAll="0"/>
    <pivotField showAll="0"/>
    <pivotField showAll="0"/>
    <pivotField showAll="0"/>
    <pivotField showAll="0"/>
    <pivotField showAll="0"/>
    <pivotField dataField="1" numFmtId="10" showAll="0"/>
    <pivotField dataField="1" numFmtId="10" showAll="0"/>
    <pivotField dataField="1" showAll="0"/>
    <pivotField axis="axisRow" showAll="0" sortType="descending">
      <items count="16">
        <item x="4"/>
        <item x="1"/>
        <item x="0"/>
        <item x="3"/>
        <item x="2"/>
        <item m="1" x="9"/>
        <item m="1" x="14"/>
        <item m="1" x="6"/>
        <item m="1" x="10"/>
        <item m="1" x="5"/>
        <item m="1" x="12"/>
        <item m="1" x="8"/>
        <item m="1" x="13"/>
        <item m="1" x="7"/>
        <item m="1" x="11"/>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s>
  <rowFields count="1">
    <field x="15"/>
  </rowFields>
  <rowItems count="6">
    <i>
      <x v="4"/>
    </i>
    <i>
      <x v="2"/>
    </i>
    <i>
      <x v="1"/>
    </i>
    <i>
      <x v="3"/>
    </i>
    <i>
      <x/>
    </i>
    <i t="grand">
      <x/>
    </i>
  </rowItems>
  <colFields count="1">
    <field x="-2"/>
  </colFields>
  <colItems count="4">
    <i>
      <x/>
    </i>
    <i i="1">
      <x v="1"/>
    </i>
    <i i="2">
      <x v="2"/>
    </i>
    <i i="3">
      <x v="3"/>
    </i>
  </colItems>
  <dataFields count="4">
    <dataField name="Avg of Engagement Rate" fld="12" subtotal="average" baseField="15" baseItem="0" numFmtId="10"/>
    <dataField name="Avg of CTR" fld="13" subtotal="average" baseField="15" baseItem="0" numFmtId="10"/>
    <dataField name="Avg of Total Interactions" fld="14" subtotal="average" baseField="15" baseItem="0" numFmtId="2"/>
    <dataField name="Count of Post ID" fld="0" subtotal="count" baseField="0" baseItem="0"/>
  </dataFields>
  <formats count="10">
    <format dxfId="33">
      <pivotArea outline="0" collapsedLevelsAreSubtotals="1" fieldPosition="0">
        <references count="1">
          <reference field="4294967294" count="1" selected="0">
            <x v="2"/>
          </reference>
        </references>
      </pivotArea>
    </format>
    <format dxfId="32">
      <pivotArea dataOnly="0" labelOnly="1" outline="0" fieldPosition="0">
        <references count="1">
          <reference field="4294967294" count="3">
            <x v="0"/>
            <x v="1"/>
            <x v="2"/>
          </reference>
        </references>
      </pivotArea>
    </format>
    <format dxfId="31">
      <pivotArea field="15" type="button" dataOnly="0" labelOnly="1" outline="0" axis="axisRow" fieldPosition="0"/>
    </format>
    <format dxfId="30">
      <pivotArea dataOnly="0" labelOnly="1" outline="0" fieldPosition="0">
        <references count="1">
          <reference field="4294967294" count="4">
            <x v="0"/>
            <x v="1"/>
            <x v="2"/>
            <x v="3"/>
          </reference>
        </references>
      </pivotArea>
    </format>
    <format dxfId="29">
      <pivotArea type="all" dataOnly="0" outline="0" fieldPosition="0"/>
    </format>
    <format dxfId="28">
      <pivotArea outline="0" collapsedLevelsAreSubtotals="1" fieldPosition="0"/>
    </format>
    <format dxfId="27">
      <pivotArea field="15" type="button" dataOnly="0" labelOnly="1" outline="0" axis="axisRow" fieldPosition="0"/>
    </format>
    <format dxfId="26">
      <pivotArea dataOnly="0" labelOnly="1" fieldPosition="0">
        <references count="1">
          <reference field="15" count="0"/>
        </references>
      </pivotArea>
    </format>
    <format dxfId="25">
      <pivotArea dataOnly="0" labelOnly="1" grandRow="1" outline="0" fieldPosition="0"/>
    </format>
    <format dxfId="24">
      <pivotArea dataOnly="0" labelOnly="1" outline="0" fieldPosition="0">
        <references count="1">
          <reference field="4294967294" count="4">
            <x v="0"/>
            <x v="1"/>
            <x v="2"/>
            <x v="3"/>
          </reference>
        </references>
      </pivotArea>
    </format>
  </formats>
  <conditionalFormats count="4">
    <conditionalFormat priority="25">
      <pivotAreas count="1">
        <pivotArea type="data" collapsedLevelsAreSubtotals="1" fieldPosition="0">
          <references count="2">
            <reference field="4294967294" count="1" selected="0">
              <x v="3"/>
            </reference>
            <reference field="15" count="5">
              <x v="0"/>
              <x v="1"/>
              <x v="2"/>
              <x v="3"/>
              <x v="4"/>
            </reference>
          </references>
        </pivotArea>
      </pivotAreas>
    </conditionalFormat>
    <conditionalFormat priority="26">
      <pivotAreas count="1">
        <pivotArea type="data" collapsedLevelsAreSubtotals="1" fieldPosition="0">
          <references count="2">
            <reference field="4294967294" count="1" selected="0">
              <x v="2"/>
            </reference>
            <reference field="15" count="5">
              <x v="0"/>
              <x v="1"/>
              <x v="2"/>
              <x v="3"/>
              <x v="4"/>
            </reference>
          </references>
        </pivotArea>
      </pivotAreas>
    </conditionalFormat>
    <conditionalFormat priority="27">
      <pivotAreas count="1">
        <pivotArea type="data" collapsedLevelsAreSubtotals="1" fieldPosition="0">
          <references count="2">
            <reference field="4294967294" count="1" selected="0">
              <x v="1"/>
            </reference>
            <reference field="15" count="5">
              <x v="0"/>
              <x v="1"/>
              <x v="2"/>
              <x v="3"/>
              <x v="4"/>
            </reference>
          </references>
        </pivotArea>
      </pivotAreas>
    </conditionalFormat>
    <conditionalFormat priority="28">
      <pivotAreas count="1">
        <pivotArea type="data" collapsedLevelsAreSubtotals="1" fieldPosition="0">
          <references count="2">
            <reference field="4294967294" count="1" selected="0">
              <x v="0"/>
            </reference>
            <reference field="15"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74D215-2D8C-494E-B438-E4059F012242}"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15" firstHeaderRow="1" firstDataRow="1" firstDataCol="1"/>
  <pivotFields count="19">
    <pivotField dataField="1" showAll="0"/>
    <pivotField showAll="0"/>
    <pivotField numFmtId="164"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axis="axisRow" showAll="0" sortType="descending">
      <items count="16">
        <item x="4"/>
        <item x="1"/>
        <item x="0"/>
        <item x="3"/>
        <item x="2"/>
        <item m="1" x="9"/>
        <item m="1" x="14"/>
        <item m="1" x="6"/>
        <item m="1" x="10"/>
        <item m="1" x="5"/>
        <item m="1" x="12"/>
        <item m="1" x="8"/>
        <item m="1" x="13"/>
        <item m="1" x="7"/>
        <item m="1" x="11"/>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s>
  <rowFields count="1">
    <field x="15"/>
  </rowFields>
  <rowItems count="6">
    <i>
      <x v="4"/>
    </i>
    <i>
      <x v="2"/>
    </i>
    <i>
      <x v="3"/>
    </i>
    <i>
      <x v="1"/>
    </i>
    <i>
      <x/>
    </i>
    <i t="grand">
      <x/>
    </i>
  </rowItems>
  <colItems count="1">
    <i/>
  </colItems>
  <dataFields count="1">
    <dataField name="Count of Post ID" fld="0" subtotal="count" baseField="15" baseItem="0"/>
  </dataFields>
  <formats count="6">
    <format dxfId="39">
      <pivotArea type="all" dataOnly="0" outline="0" fieldPosition="0"/>
    </format>
    <format dxfId="38">
      <pivotArea field="15" type="button" dataOnly="0" labelOnly="1" outline="0" axis="axisRow" fieldPosition="0"/>
    </format>
    <format dxfId="37">
      <pivotArea dataOnly="0" labelOnly="1" fieldPosition="0">
        <references count="1">
          <reference field="15" count="0"/>
        </references>
      </pivotArea>
    </format>
    <format dxfId="36">
      <pivotArea dataOnly="0" labelOnly="1" grandRow="1" outline="0" fieldPosition="0"/>
    </format>
    <format dxfId="35">
      <pivotArea outline="0" collapsedLevelsAreSubtotals="1"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51472B-DF3B-43E5-B8B0-2C1E0B059813}"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60:E89" firstHeaderRow="0" firstDataRow="1" firstDataCol="1"/>
  <pivotFields count="19">
    <pivotField showAll="0"/>
    <pivotField axis="axisRow" showAll="0">
      <items count="5">
        <item x="3"/>
        <item x="2"/>
        <item x="0"/>
        <item x="1"/>
        <item t="default"/>
      </items>
    </pivotField>
    <pivotField numFmtId="164" showAll="0"/>
    <pivotField axis="axisRow" showAll="0">
      <items count="7">
        <item x="3"/>
        <item x="4"/>
        <item x="0"/>
        <item x="2"/>
        <item x="1"/>
        <item x="5"/>
        <item t="default"/>
      </items>
    </pivotField>
    <pivotField showAll="0"/>
    <pivotField showAll="0"/>
    <pivotField showAll="0"/>
    <pivotField showAll="0"/>
    <pivotField showAll="0"/>
    <pivotField showAll="0"/>
    <pivotField showAll="0"/>
    <pivotField showAll="0"/>
    <pivotField dataField="1" numFmtId="10" showAll="0"/>
    <pivotField dataField="1" numFmtId="10" showAll="0"/>
    <pivotField dataField="1" showAll="0"/>
    <pivotField showAll="0">
      <items count="16">
        <item x="4"/>
        <item x="1"/>
        <item x="0"/>
        <item x="3"/>
        <item x="2"/>
        <item m="1" x="9"/>
        <item m="1" x="14"/>
        <item m="1" x="6"/>
        <item m="1" x="10"/>
        <item m="1" x="5"/>
        <item m="1" x="12"/>
        <item m="1" x="8"/>
        <item m="1" x="13"/>
        <item m="1" x="7"/>
        <item m="1" x="11"/>
        <item t="default"/>
      </items>
    </pivotField>
    <pivotField showAll="0"/>
    <pivotField numFmtId="164" showAll="0"/>
    <pivotField numFmtId="164" showAll="0"/>
  </pivotFields>
  <rowFields count="2">
    <field x="1"/>
    <field x="3"/>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Fields count="1">
    <field x="-2"/>
  </colFields>
  <colItems count="3">
    <i>
      <x/>
    </i>
    <i i="1">
      <x v="1"/>
    </i>
    <i i="2">
      <x v="2"/>
    </i>
  </colItems>
  <dataFields count="3">
    <dataField name="Avg of Engagement Rate" fld="12" subtotal="average" baseField="1" baseItem="1" numFmtId="10"/>
    <dataField name="Avg of CTR" fld="13" subtotal="average" baseField="1" baseItem="1" numFmtId="10"/>
    <dataField name="Avg of Total Interactions" fld="14" subtotal="average" baseField="3" baseItem="4"/>
  </dataFields>
  <formats count="36">
    <format dxfId="75">
      <pivotArea field="15" type="button" dataOnly="0" labelOnly="1" outline="0"/>
    </format>
    <format dxfId="74">
      <pivotArea field="15" type="button" dataOnly="0" labelOnly="1" outline="0"/>
    </format>
    <format dxfId="73">
      <pivotArea field="3" type="button" dataOnly="0" labelOnly="1" outline="0" axis="axisRow" fieldPosition="1"/>
    </format>
    <format dxfId="72">
      <pivotArea field="1" type="button" dataOnly="0" labelOnly="1" outline="0" axis="axisRow" fieldPosition="0"/>
    </format>
    <format dxfId="71">
      <pivotArea dataOnly="0" labelOnly="1" outline="0" fieldPosition="0">
        <references count="1">
          <reference field="4294967294" count="3">
            <x v="0"/>
            <x v="1"/>
            <x v="2"/>
          </reference>
        </references>
      </pivotArea>
    </format>
    <format dxfId="70">
      <pivotArea field="1" type="button" dataOnly="0" labelOnly="1" outline="0" axis="axisRow" fieldPosition="0"/>
    </format>
    <format dxfId="69">
      <pivotArea dataOnly="0" labelOnly="1" outline="0" fieldPosition="0">
        <references count="1">
          <reference field="4294967294" count="3">
            <x v="0"/>
            <x v="1"/>
            <x v="2"/>
          </reference>
        </references>
      </pivotArea>
    </format>
    <format dxfId="68">
      <pivotArea collapsedLevelsAreSubtotals="1" fieldPosition="0">
        <references count="3">
          <reference field="4294967294" count="1" selected="0">
            <x v="2"/>
          </reference>
          <reference field="1" count="1" selected="0">
            <x v="0"/>
          </reference>
          <reference field="3" count="0"/>
        </references>
      </pivotArea>
    </format>
    <format dxfId="67">
      <pivotArea collapsedLevelsAreSubtotals="1" fieldPosition="0">
        <references count="2">
          <reference field="4294967294" count="1" selected="0">
            <x v="2"/>
          </reference>
          <reference field="1" count="1">
            <x v="1"/>
          </reference>
        </references>
      </pivotArea>
    </format>
    <format dxfId="66">
      <pivotArea collapsedLevelsAreSubtotals="1" fieldPosition="0">
        <references count="3">
          <reference field="4294967294" count="1" selected="0">
            <x v="2"/>
          </reference>
          <reference field="1" count="1" selected="0">
            <x v="1"/>
          </reference>
          <reference field="3" count="0"/>
        </references>
      </pivotArea>
    </format>
    <format dxfId="65">
      <pivotArea collapsedLevelsAreSubtotals="1" fieldPosition="0">
        <references count="2">
          <reference field="4294967294" count="1" selected="0">
            <x v="2"/>
          </reference>
          <reference field="1" count="1">
            <x v="2"/>
          </reference>
        </references>
      </pivotArea>
    </format>
    <format dxfId="64">
      <pivotArea collapsedLevelsAreSubtotals="1" fieldPosition="0">
        <references count="3">
          <reference field="4294967294" count="1" selected="0">
            <x v="2"/>
          </reference>
          <reference field="1" count="1" selected="0">
            <x v="2"/>
          </reference>
          <reference field="3" count="0"/>
        </references>
      </pivotArea>
    </format>
    <format dxfId="63">
      <pivotArea collapsedLevelsAreSubtotals="1" fieldPosition="0">
        <references count="2">
          <reference field="4294967294" count="1" selected="0">
            <x v="2"/>
          </reference>
          <reference field="1" count="1">
            <x v="3"/>
          </reference>
        </references>
      </pivotArea>
    </format>
    <format dxfId="62">
      <pivotArea collapsedLevelsAreSubtotals="1" fieldPosition="0">
        <references count="3">
          <reference field="4294967294" count="1" selected="0">
            <x v="2"/>
          </reference>
          <reference field="1" count="1" selected="0">
            <x v="3"/>
          </reference>
          <reference field="3" count="0"/>
        </references>
      </pivotArea>
    </format>
    <format dxfId="61">
      <pivotArea field="1" grandRow="1" outline="0" collapsedLevelsAreSubtotals="1" axis="axisRow" fieldPosition="0">
        <references count="1">
          <reference field="4294967294" count="1" selected="0">
            <x v="2"/>
          </reference>
        </references>
      </pivotArea>
    </format>
    <format dxfId="60">
      <pivotArea collapsedLevelsAreSubtotals="1" fieldPosition="0">
        <references count="2">
          <reference field="4294967294" count="1" selected="0">
            <x v="2"/>
          </reference>
          <reference field="1" count="1">
            <x v="0"/>
          </reference>
        </references>
      </pivotArea>
    </format>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fieldPosition="0">
        <references count="1">
          <reference field="1" count="0"/>
        </references>
      </pivotArea>
    </format>
    <format dxfId="55">
      <pivotArea dataOnly="0" labelOnly="1" grandRow="1" outline="0" fieldPosition="0"/>
    </format>
    <format dxfId="54">
      <pivotArea dataOnly="0" labelOnly="1" fieldPosition="0">
        <references count="2">
          <reference field="1" count="1" selected="0">
            <x v="0"/>
          </reference>
          <reference field="3" count="0"/>
        </references>
      </pivotArea>
    </format>
    <format dxfId="53">
      <pivotArea dataOnly="0" labelOnly="1" fieldPosition="0">
        <references count="2">
          <reference field="1" count="1" selected="0">
            <x v="1"/>
          </reference>
          <reference field="3" count="0"/>
        </references>
      </pivotArea>
    </format>
    <format dxfId="52">
      <pivotArea dataOnly="0" labelOnly="1" fieldPosition="0">
        <references count="2">
          <reference field="1" count="1" selected="0">
            <x v="2"/>
          </reference>
          <reference field="3" count="0"/>
        </references>
      </pivotArea>
    </format>
    <format dxfId="51">
      <pivotArea dataOnly="0" labelOnly="1" fieldPosition="0">
        <references count="2">
          <reference field="1" count="1" selected="0">
            <x v="3"/>
          </reference>
          <reference field="3" count="0"/>
        </references>
      </pivotArea>
    </format>
    <format dxfId="50">
      <pivotArea dataOnly="0" labelOnly="1" outline="0" fieldPosition="0">
        <references count="1">
          <reference field="4294967294" count="3">
            <x v="0"/>
            <x v="1"/>
            <x v="2"/>
          </reference>
        </references>
      </pivotArea>
    </format>
    <format dxfId="49">
      <pivotArea type="all" dataOnly="0" outline="0" fieldPosition="0"/>
    </format>
    <format dxfId="48">
      <pivotArea outline="0" collapsedLevelsAreSubtotals="1" fieldPosition="0"/>
    </format>
    <format dxfId="47">
      <pivotArea field="1" type="button" dataOnly="0" labelOnly="1" outline="0" axis="axisRow" fieldPosition="0"/>
    </format>
    <format dxfId="46">
      <pivotArea dataOnly="0" labelOnly="1" fieldPosition="0">
        <references count="1">
          <reference field="1" count="0"/>
        </references>
      </pivotArea>
    </format>
    <format dxfId="45">
      <pivotArea dataOnly="0" labelOnly="1" grandRow="1" outline="0" fieldPosition="0"/>
    </format>
    <format dxfId="44">
      <pivotArea dataOnly="0" labelOnly="1" fieldPosition="0">
        <references count="2">
          <reference field="1" count="1" selected="0">
            <x v="0"/>
          </reference>
          <reference field="3" count="0"/>
        </references>
      </pivotArea>
    </format>
    <format dxfId="43">
      <pivotArea dataOnly="0" labelOnly="1" fieldPosition="0">
        <references count="2">
          <reference field="1" count="1" selected="0">
            <x v="1"/>
          </reference>
          <reference field="3" count="0"/>
        </references>
      </pivotArea>
    </format>
    <format dxfId="42">
      <pivotArea dataOnly="0" labelOnly="1" fieldPosition="0">
        <references count="2">
          <reference field="1" count="1" selected="0">
            <x v="2"/>
          </reference>
          <reference field="3" count="0"/>
        </references>
      </pivotArea>
    </format>
    <format dxfId="41">
      <pivotArea dataOnly="0" labelOnly="1" fieldPosition="0">
        <references count="2">
          <reference field="1" count="1" selected="0">
            <x v="3"/>
          </reference>
          <reference field="3" count="0"/>
        </references>
      </pivotArea>
    </format>
    <format dxfId="40">
      <pivotArea dataOnly="0" labelOnly="1" outline="0" fieldPosition="0">
        <references count="1">
          <reference field="4294967294" count="3">
            <x v="0"/>
            <x v="1"/>
            <x v="2"/>
          </reference>
        </references>
      </pivotArea>
    </format>
  </formats>
  <conditionalFormats count="12">
    <conditionalFormat priority="1">
      <pivotAreas count="1">
        <pivotArea type="data" collapsedLevelsAreSubtotals="1" fieldPosition="0">
          <references count="3">
            <reference field="4294967294" count="1" selected="0">
              <x v="0"/>
            </reference>
            <reference field="1" count="1" selected="0">
              <x v="3"/>
            </reference>
            <reference field="3" count="6">
              <x v="0"/>
              <x v="1"/>
              <x v="2"/>
              <x v="3"/>
              <x v="4"/>
              <x v="5"/>
            </reference>
          </references>
        </pivotArea>
      </pivotAreas>
    </conditionalFormat>
    <conditionalFormat priority="2">
      <pivotAreas count="1">
        <pivotArea type="data" collapsedLevelsAreSubtotals="1" fieldPosition="0">
          <references count="3">
            <reference field="4294967294" count="1" selected="0">
              <x v="0"/>
            </reference>
            <reference field="1" count="1" selected="0">
              <x v="2"/>
            </reference>
            <reference field="3" count="6">
              <x v="0"/>
              <x v="1"/>
              <x v="2"/>
              <x v="3"/>
              <x v="4"/>
              <x v="5"/>
            </reference>
          </references>
        </pivotArea>
      </pivotAreas>
    </conditionalFormat>
    <conditionalFormat priority="3">
      <pivotAreas count="1">
        <pivotArea type="data" collapsedLevelsAreSubtotals="1" fieldPosition="0">
          <references count="3">
            <reference field="4294967294" count="1" selected="0">
              <x v="0"/>
            </reference>
            <reference field="1" count="1" selected="0">
              <x v="1"/>
            </reference>
            <reference field="3" count="6">
              <x v="0"/>
              <x v="1"/>
              <x v="2"/>
              <x v="3"/>
              <x v="4"/>
              <x v="5"/>
            </reference>
          </references>
        </pivotArea>
      </pivotAreas>
    </conditionalFormat>
    <conditionalFormat priority="4">
      <pivotAreas count="1">
        <pivotArea type="data" collapsedLevelsAreSubtotals="1" fieldPosition="0">
          <references count="3">
            <reference field="4294967294" count="1" selected="0">
              <x v="1"/>
            </reference>
            <reference field="1" count="1" selected="0">
              <x v="3"/>
            </reference>
            <reference field="3" count="6">
              <x v="0"/>
              <x v="1"/>
              <x v="2"/>
              <x v="3"/>
              <x v="4"/>
              <x v="5"/>
            </reference>
          </references>
        </pivotArea>
      </pivotAreas>
    </conditionalFormat>
    <conditionalFormat priority="5">
      <pivotAreas count="1">
        <pivotArea type="data" collapsedLevelsAreSubtotals="1" fieldPosition="0">
          <references count="3">
            <reference field="4294967294" count="1" selected="0">
              <x v="2"/>
            </reference>
            <reference field="1" count="1" selected="0">
              <x v="3"/>
            </reference>
            <reference field="3" count="6">
              <x v="0"/>
              <x v="1"/>
              <x v="2"/>
              <x v="3"/>
              <x v="4"/>
              <x v="5"/>
            </reference>
          </references>
        </pivotArea>
      </pivotAreas>
    </conditionalFormat>
    <conditionalFormat priority="6">
      <pivotAreas count="1">
        <pivotArea type="data" collapsedLevelsAreSubtotals="1" fieldPosition="0">
          <references count="3">
            <reference field="4294967294" count="1" selected="0">
              <x v="2"/>
            </reference>
            <reference field="1" count="1" selected="0">
              <x v="2"/>
            </reference>
            <reference field="3" count="6">
              <x v="0"/>
              <x v="1"/>
              <x v="2"/>
              <x v="3"/>
              <x v="4"/>
              <x v="5"/>
            </reference>
          </references>
        </pivotArea>
      </pivotAreas>
    </conditionalFormat>
    <conditionalFormat priority="7">
      <pivotAreas count="1">
        <pivotArea type="data" collapsedLevelsAreSubtotals="1" fieldPosition="0">
          <references count="3">
            <reference field="4294967294" count="1" selected="0">
              <x v="1"/>
            </reference>
            <reference field="1" count="1" selected="0">
              <x v="2"/>
            </reference>
            <reference field="3" count="6">
              <x v="0"/>
              <x v="1"/>
              <x v="2"/>
              <x v="3"/>
              <x v="4"/>
              <x v="5"/>
            </reference>
          </references>
        </pivotArea>
      </pivotAreas>
    </conditionalFormat>
    <conditionalFormat priority="8">
      <pivotAreas count="1">
        <pivotArea type="data" collapsedLevelsAreSubtotals="1" fieldPosition="0">
          <references count="3">
            <reference field="4294967294" count="1" selected="0">
              <x v="1"/>
            </reference>
            <reference field="1" count="1" selected="0">
              <x v="1"/>
            </reference>
            <reference field="3" count="6">
              <x v="0"/>
              <x v="1"/>
              <x v="2"/>
              <x v="3"/>
              <x v="4"/>
              <x v="5"/>
            </reference>
          </references>
        </pivotArea>
      </pivotAreas>
    </conditionalFormat>
    <conditionalFormat priority="9">
      <pivotAreas count="1">
        <pivotArea type="data" collapsedLevelsAreSubtotals="1" fieldPosition="0">
          <references count="3">
            <reference field="4294967294" count="1" selected="0">
              <x v="2"/>
            </reference>
            <reference field="1" count="1" selected="0">
              <x v="1"/>
            </reference>
            <reference field="3" count="6">
              <x v="0"/>
              <x v="1"/>
              <x v="2"/>
              <x v="3"/>
              <x v="4"/>
              <x v="5"/>
            </reference>
          </references>
        </pivotArea>
      </pivotAreas>
    </conditionalFormat>
    <conditionalFormat priority="10">
      <pivotAreas count="1">
        <pivotArea type="data" collapsedLevelsAreSubtotals="1" fieldPosition="0">
          <references count="3">
            <reference field="4294967294" count="1" selected="0">
              <x v="2"/>
            </reference>
            <reference field="1" count="1" selected="0">
              <x v="0"/>
            </reference>
            <reference field="3" count="6">
              <x v="0"/>
              <x v="1"/>
              <x v="2"/>
              <x v="3"/>
              <x v="4"/>
              <x v="5"/>
            </reference>
          </references>
        </pivotArea>
      </pivotAreas>
    </conditionalFormat>
    <conditionalFormat priority="11">
      <pivotAreas count="1">
        <pivotArea type="data" collapsedLevelsAreSubtotals="1" fieldPosition="0">
          <references count="3">
            <reference field="4294967294" count="1" selected="0">
              <x v="1"/>
            </reference>
            <reference field="1" count="1" selected="0">
              <x v="0"/>
            </reference>
            <reference field="3" count="6">
              <x v="0"/>
              <x v="1"/>
              <x v="2"/>
              <x v="3"/>
              <x v="4"/>
              <x v="5"/>
            </reference>
          </references>
        </pivotArea>
      </pivotAreas>
    </conditionalFormat>
    <conditionalFormat priority="12">
      <pivotAreas count="1">
        <pivotArea type="data" collapsedLevelsAreSubtotals="1" fieldPosition="0">
          <references count="3">
            <reference field="4294967294" count="1" selected="0">
              <x v="0"/>
            </reference>
            <reference field="1" count="1" selected="0">
              <x v="0"/>
            </reference>
            <reference field="3" count="6">
              <x v="0"/>
              <x v="1"/>
              <x v="2"/>
              <x v="3"/>
              <x v="4"/>
              <x v="5"/>
            </reference>
          </references>
        </pivotArea>
      </pivotAreas>
    </conditionalFormat>
  </conditionalFormats>
  <chartFormats count="3">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8E0016-6FED-4F52-A1B0-AB736D269DD6}"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2:I49" firstHeaderRow="0" firstDataRow="1" firstDataCol="1"/>
  <pivotFields count="19">
    <pivotField dataField="1" showAll="0"/>
    <pivotField showAll="0"/>
    <pivotField numFmtId="164" showAll="0"/>
    <pivotField axis="axisRow" showAll="0" sortType="descending">
      <items count="7">
        <item x="3"/>
        <item x="4"/>
        <item x="0"/>
        <item x="2"/>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numFmtId="10" showAll="0"/>
    <pivotField dataField="1" numFmtId="10" showAll="0"/>
    <pivotField dataField="1" showAll="0"/>
    <pivotField showAll="0" sortType="descending">
      <items count="16">
        <item x="4"/>
        <item x="1"/>
        <item x="0"/>
        <item x="3"/>
        <item x="2"/>
        <item m="1" x="9"/>
        <item m="1" x="14"/>
        <item m="1" x="6"/>
        <item m="1" x="10"/>
        <item m="1" x="5"/>
        <item m="1" x="12"/>
        <item m="1" x="8"/>
        <item m="1" x="13"/>
        <item m="1" x="7"/>
        <item m="1" x="11"/>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s>
  <rowFields count="1">
    <field x="3"/>
  </rowFields>
  <rowItems count="7">
    <i>
      <x v="3"/>
    </i>
    <i>
      <x v="5"/>
    </i>
    <i>
      <x/>
    </i>
    <i>
      <x v="2"/>
    </i>
    <i>
      <x v="1"/>
    </i>
    <i>
      <x v="4"/>
    </i>
    <i t="grand">
      <x/>
    </i>
  </rowItems>
  <colFields count="1">
    <field x="-2"/>
  </colFields>
  <colItems count="4">
    <i>
      <x/>
    </i>
    <i i="1">
      <x v="1"/>
    </i>
    <i i="2">
      <x v="2"/>
    </i>
    <i i="3">
      <x v="3"/>
    </i>
  </colItems>
  <dataFields count="4">
    <dataField name="Avg of Engagement Rate" fld="12" subtotal="average" baseField="15" baseItem="0" numFmtId="10"/>
    <dataField name="Avg of CTR" fld="13" subtotal="average" baseField="15" baseItem="0" numFmtId="10"/>
    <dataField name="Avg of Total Interactions" fld="14" subtotal="average" baseField="15" baseItem="0" numFmtId="2"/>
    <dataField name="Count of Post ID" fld="0" subtotal="count" baseField="0" baseItem="0"/>
  </dataFields>
  <formats count="11">
    <format dxfId="86">
      <pivotArea outline="0" collapsedLevelsAreSubtotals="1" fieldPosition="0">
        <references count="1">
          <reference field="4294967294" count="1" selected="0">
            <x v="2"/>
          </reference>
        </references>
      </pivotArea>
    </format>
    <format dxfId="85">
      <pivotArea dataOnly="0" labelOnly="1" outline="0" fieldPosition="0">
        <references count="1">
          <reference field="4294967294" count="3">
            <x v="0"/>
            <x v="1"/>
            <x v="2"/>
          </reference>
        </references>
      </pivotArea>
    </format>
    <format dxfId="84">
      <pivotArea field="15" type="button" dataOnly="0" labelOnly="1" outline="0"/>
    </format>
    <format dxfId="83">
      <pivotArea field="3" type="button" dataOnly="0" labelOnly="1" outline="0" axis="axisRow" fieldPosition="0"/>
    </format>
    <format dxfId="82">
      <pivotArea dataOnly="0" labelOnly="1" outline="0" fieldPosition="0">
        <references count="1">
          <reference field="4294967294" count="4">
            <x v="0"/>
            <x v="1"/>
            <x v="2"/>
            <x v="3"/>
          </reference>
        </references>
      </pivotArea>
    </format>
    <format dxfId="81">
      <pivotArea type="all" dataOnly="0" outline="0" fieldPosition="0"/>
    </format>
    <format dxfId="80">
      <pivotArea outline="0" collapsedLevelsAreSubtotals="1" fieldPosition="0"/>
    </format>
    <format dxfId="79">
      <pivotArea field="3" type="button" dataOnly="0" labelOnly="1" outline="0" axis="axisRow" fieldPosition="0"/>
    </format>
    <format dxfId="78">
      <pivotArea dataOnly="0" labelOnly="1" fieldPosition="0">
        <references count="1">
          <reference field="3" count="0"/>
        </references>
      </pivotArea>
    </format>
    <format dxfId="77">
      <pivotArea dataOnly="0" labelOnly="1" grandRow="1" outline="0" fieldPosition="0"/>
    </format>
    <format dxfId="76">
      <pivotArea dataOnly="0" labelOnly="1" outline="0" fieldPosition="0">
        <references count="1">
          <reference field="4294967294" count="4">
            <x v="0"/>
            <x v="1"/>
            <x v="2"/>
            <x v="3"/>
          </reference>
        </references>
      </pivotArea>
    </format>
  </formats>
  <conditionalFormats count="3">
    <conditionalFormat priority="18">
      <pivotAreas count="1">
        <pivotArea type="data" collapsedLevelsAreSubtotals="1" fieldPosition="0">
          <references count="2">
            <reference field="4294967294" count="1" selected="0">
              <x v="2"/>
            </reference>
            <reference field="3" count="6">
              <x v="0"/>
              <x v="1"/>
              <x v="2"/>
              <x v="3"/>
              <x v="4"/>
              <x v="5"/>
            </reference>
          </references>
        </pivotArea>
      </pivotAreas>
    </conditionalFormat>
    <conditionalFormat priority="19">
      <pivotAreas count="1">
        <pivotArea type="data" collapsedLevelsAreSubtotals="1" fieldPosition="0">
          <references count="2">
            <reference field="4294967294" count="1" selected="0">
              <x v="1"/>
            </reference>
            <reference field="3" count="6">
              <x v="0"/>
              <x v="1"/>
              <x v="2"/>
              <x v="3"/>
              <x v="4"/>
              <x v="5"/>
            </reference>
          </references>
        </pivotArea>
      </pivotAreas>
    </conditionalFormat>
    <conditionalFormat priority="20">
      <pivotAreas count="1">
        <pivotArea type="data" collapsedLevelsAreSubtotals="1" fieldPosition="0">
          <references count="2">
            <reference field="4294967294" count="1" selected="0">
              <x v="0"/>
            </reference>
            <reference field="3"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4DC7A1-9698-46E0-B496-88735C90A60C}" name="PivotTable3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63:E68" firstHeaderRow="1" firstDataRow="1" firstDataCol="1"/>
  <pivotFields count="19">
    <pivotField showAll="0"/>
    <pivotField showAll="0"/>
    <pivotField numFmtId="164"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numFmtId="10" showAll="0"/>
    <pivotField numFmtId="10" showAll="0"/>
    <pivotField dataField="1" showAll="0"/>
    <pivotField showAll="0"/>
    <pivotField showAll="0"/>
    <pivotField numFmtId="164" showAll="0"/>
    <pivotField numFmtId="164" showAll="0"/>
  </pivotFields>
  <rowFields count="1">
    <field x="11"/>
  </rowFields>
  <rowItems count="5">
    <i>
      <x/>
    </i>
    <i>
      <x v="1"/>
    </i>
    <i>
      <x v="2"/>
    </i>
    <i>
      <x v="3"/>
    </i>
    <i t="grand">
      <x/>
    </i>
  </rowItems>
  <colItems count="1">
    <i/>
  </colItems>
  <dataFields count="1">
    <dataField name="Sum of Total Interactions" fld="14" baseField="0" baseItem="0"/>
  </dataFields>
  <formats count="2">
    <format dxfId="6">
      <pivotArea collapsedLevelsAreSubtotals="1" fieldPosition="0">
        <references count="1">
          <reference field="11" count="0"/>
        </references>
      </pivotArea>
    </format>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9E2213-6E43-4975-9428-F14C0653F5FD}" name="PivotTable33" cacheId="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41:F54" firstHeaderRow="0" firstDataRow="1" firstDataCol="1"/>
  <pivotFields count="19">
    <pivotField dataField="1" showAll="0"/>
    <pivotField showAll="0"/>
    <pivotField numFmtId="164"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dataField="1" numFmtId="10" showAll="0"/>
    <pivotField numFmtId="10" showAll="0"/>
    <pivotField showAll="0"/>
    <pivotField showAll="0"/>
    <pivotField axis="axisRow" multipleItemSelectionAllowed="1" showAll="0">
      <items count="4">
        <item x="2"/>
        <item x="1"/>
        <item h="1" x="0"/>
        <item t="default"/>
      </items>
    </pivotField>
    <pivotField numFmtId="164" showAll="0"/>
    <pivotField numFmtId="164" showAll="0"/>
  </pivotFields>
  <rowFields count="2">
    <field x="11"/>
    <field x="16"/>
  </rowFields>
  <rowItems count="13">
    <i>
      <x/>
    </i>
    <i r="1">
      <x/>
    </i>
    <i r="1">
      <x v="1"/>
    </i>
    <i>
      <x v="1"/>
    </i>
    <i r="1">
      <x/>
    </i>
    <i r="1">
      <x v="1"/>
    </i>
    <i>
      <x v="2"/>
    </i>
    <i r="1">
      <x/>
    </i>
    <i r="1">
      <x v="1"/>
    </i>
    <i>
      <x v="3"/>
    </i>
    <i r="1">
      <x/>
    </i>
    <i r="1">
      <x v="1"/>
    </i>
    <i t="grand">
      <x/>
    </i>
  </rowItems>
  <colFields count="1">
    <field x="-2"/>
  </colFields>
  <colItems count="2">
    <i>
      <x/>
    </i>
    <i i="1">
      <x v="1"/>
    </i>
  </colItems>
  <dataFields count="2">
    <dataField name="Avg of Engagement Rate" fld="12" subtotal="average" baseField="16" baseItem="0" numFmtId="10"/>
    <dataField name="Count of Post ID" fld="0" subtotal="count"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9F6F85-9A14-4BA9-B4C5-F9D0F5E6836D}" name="PivotTable32"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9:I17" firstHeaderRow="1" firstDataRow="2" firstDataCol="1"/>
  <pivotFields count="19">
    <pivotField showAll="0"/>
    <pivotField showAll="0"/>
    <pivotField numFmtId="164" showAll="0"/>
    <pivotField showAll="0"/>
    <pivotField showAll="0"/>
    <pivotField dataField="1" showAll="0"/>
    <pivotField dataField="1" showAll="0"/>
    <pivotField dataField="1" showAll="0"/>
    <pivotField showAll="0"/>
    <pivotField showAll="0"/>
    <pivotField showAll="0"/>
    <pivotField axis="axisCol" showAll="0">
      <items count="5">
        <item x="1"/>
        <item x="0"/>
        <item x="2"/>
        <item x="3"/>
        <item t="default"/>
      </items>
    </pivotField>
    <pivotField dataField="1" numFmtId="10" showAll="0"/>
    <pivotField numFmtId="10" showAll="0"/>
    <pivotField showAll="0"/>
    <pivotField showAll="0"/>
    <pivotField showAll="0"/>
    <pivotField numFmtId="164" showAll="0"/>
    <pivotField numFmtId="164" showAll="0"/>
  </pivotFields>
  <rowFields count="1">
    <field x="-2"/>
  </rowFields>
  <rowItems count="7">
    <i>
      <x/>
    </i>
    <i i="1">
      <x v="1"/>
    </i>
    <i i="2">
      <x v="2"/>
    </i>
    <i i="3">
      <x v="3"/>
    </i>
    <i i="4">
      <x v="4"/>
    </i>
    <i i="5">
      <x v="5"/>
    </i>
    <i i="6">
      <x v="6"/>
    </i>
  </rowItems>
  <colFields count="1">
    <field x="11"/>
  </colFields>
  <colItems count="5">
    <i>
      <x/>
    </i>
    <i>
      <x v="1"/>
    </i>
    <i>
      <x v="2"/>
    </i>
    <i>
      <x v="3"/>
    </i>
    <i t="grand">
      <x/>
    </i>
  </colItems>
  <dataFields count="7">
    <dataField name="Sum of Likes" fld="5" baseField="0" baseItem="0"/>
    <dataField name="Average of Likes" fld="5" subtotal="average" baseField="11" baseItem="0"/>
    <dataField name="Sum of Shares" fld="6" baseField="0" baseItem="0"/>
    <dataField name="Average of Shares" fld="6" subtotal="average" baseField="11" baseItem="0"/>
    <dataField name="Sum of Comments" fld="7" baseField="0" baseItem="0"/>
    <dataField name="Average of Comments" fld="7" subtotal="average" baseField="11" baseItem="0"/>
    <dataField name="Average of Engagement Rate" fld="12" subtotal="average" baseField="11" baseItem="2" numFmtId="10"/>
  </dataFields>
  <formats count="16">
    <format dxfId="23">
      <pivotArea collapsedLevelsAreSubtotals="1" fieldPosition="0">
        <references count="1">
          <reference field="4294967294" count="6">
            <x v="0"/>
            <x v="1"/>
            <x v="2"/>
            <x v="3"/>
            <x v="4"/>
            <x v="5"/>
          </reference>
        </references>
      </pivotArea>
    </format>
    <format dxfId="22">
      <pivotArea dataOnly="0" outline="0" fieldPosition="0">
        <references count="1">
          <reference field="4294967294" count="2">
            <x v="0"/>
            <x v="1"/>
          </reference>
        </references>
      </pivotArea>
    </format>
    <format dxfId="21">
      <pivotArea collapsedLevelsAreSubtotals="1" fieldPosition="0">
        <references count="1">
          <reference field="4294967294" count="2">
            <x v="2"/>
            <x v="3"/>
          </reference>
        </references>
      </pivotArea>
    </format>
    <format dxfId="20">
      <pivotArea dataOnly="0" labelOnly="1" outline="0" fieldPosition="0">
        <references count="1">
          <reference field="4294967294" count="2">
            <x v="2"/>
            <x v="3"/>
          </reference>
        </references>
      </pivotArea>
    </format>
    <format dxfId="19">
      <pivotArea collapsedLevelsAreSubtotals="1" fieldPosition="0">
        <references count="1">
          <reference field="4294967294" count="2">
            <x v="4"/>
            <x v="5"/>
          </reference>
        </references>
      </pivotArea>
    </format>
    <format dxfId="18">
      <pivotArea dataOnly="0" labelOnly="1" outline="0" fieldPosition="0">
        <references count="1">
          <reference field="4294967294" count="2">
            <x v="4"/>
            <x v="5"/>
          </reference>
        </references>
      </pivotArea>
    </format>
    <format dxfId="17">
      <pivotArea collapsedLevelsAreSubtotals="1" fieldPosition="0">
        <references count="1">
          <reference field="4294967294" count="1">
            <x v="6"/>
          </reference>
        </references>
      </pivotArea>
    </format>
    <format dxfId="16">
      <pivotArea dataOnly="0" labelOnly="1" outline="0" fieldPosition="0">
        <references count="1">
          <reference field="4294967294" count="1">
            <x v="6"/>
          </reference>
        </references>
      </pivotArea>
    </format>
    <format dxfId="15">
      <pivotArea grandCol="1" outline="0" collapsedLevelsAreSubtotals="1" fieldPosition="0"/>
    </format>
    <format dxfId="14">
      <pivotArea field="-2" type="button" dataOnly="0" labelOnly="1" outline="0" axis="axisRow" fieldPosition="0"/>
    </format>
    <format dxfId="13">
      <pivotArea dataOnly="0" labelOnly="1" outline="0" fieldPosition="0">
        <references count="1">
          <reference field="4294967294" count="7">
            <x v="0"/>
            <x v="1"/>
            <x v="2"/>
            <x v="3"/>
            <x v="4"/>
            <x v="5"/>
            <x v="6"/>
          </reference>
        </references>
      </pivotArea>
    </format>
    <format dxfId="12">
      <pivotArea dataOnly="0" grandCol="1" outline="0" fieldPosition="0"/>
    </format>
    <format dxfId="11">
      <pivotArea collapsedLevelsAreSubtotals="1" fieldPosition="0">
        <references count="1">
          <reference field="4294967294" count="6">
            <x v="0"/>
            <x v="1"/>
            <x v="2"/>
            <x v="3"/>
            <x v="4"/>
            <x v="5"/>
          </reference>
        </references>
      </pivotArea>
    </format>
    <format dxfId="10">
      <pivotArea outline="0" collapsedLevelsAreSubtotals="1" fieldPosition="0"/>
    </format>
    <format dxfId="9">
      <pivotArea dataOnly="0" labelOnly="1" fieldPosition="0">
        <references count="1">
          <reference field="11" count="0"/>
        </references>
      </pivotArea>
    </format>
    <format dxfId="8">
      <pivotArea dataOnly="0" labelOnly="1" grandCol="1" outline="0" fieldPosition="0"/>
    </format>
  </formats>
  <chartFormats count="11">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 chart="0" format="9" series="1">
      <pivotArea type="data" outline="0" fieldPosition="0">
        <references count="1">
          <reference field="4294967294" count="1" selected="0">
            <x v="2"/>
          </reference>
        </references>
      </pivotArea>
    </chartFormat>
    <chartFormat chart="0" format="10"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409D4B7-28F0-439B-8DC8-D6BF98704C7D}" name="PivotTable4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86:E99" firstHeaderRow="1" firstDataRow="1" firstDataCol="1"/>
  <pivotFields count="3">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axis="axisRow" showAll="0">
      <items count="5">
        <item x="1"/>
        <item x="0"/>
        <item x="2"/>
        <item x="3"/>
        <item t="default"/>
      </items>
    </pivotField>
    <pivotField dataField="1" showAll="0"/>
  </pivotFields>
  <rowFields count="2">
    <field x="0"/>
    <field x="1"/>
  </rowFields>
  <rowItems count="13">
    <i>
      <x v="3"/>
    </i>
    <i r="1">
      <x v="1"/>
    </i>
    <i r="1">
      <x v="2"/>
    </i>
    <i>
      <x v="2"/>
    </i>
    <i r="1">
      <x/>
    </i>
    <i r="1">
      <x v="1"/>
    </i>
    <i>
      <x/>
    </i>
    <i r="1">
      <x/>
    </i>
    <i r="1">
      <x v="1"/>
    </i>
    <i>
      <x v="1"/>
    </i>
    <i r="1">
      <x v="1"/>
    </i>
    <i r="1">
      <x v="3"/>
    </i>
    <i t="grand">
      <x/>
    </i>
  </rowItems>
  <colItems count="1">
    <i/>
  </colItems>
  <dataFields count="1">
    <dataField name="Sum of Net_Follower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737ED69-AB21-4016-AC6C-A6B59B92FF2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4:G177" firstHeaderRow="0" firstDataRow="1" firstDataCol="1"/>
  <pivotFields count="7">
    <pivotField axis="axisRow" showAll="0">
      <items count="5">
        <item x="3"/>
        <item x="2"/>
        <item x="1"/>
        <item x="0"/>
        <item t="default"/>
      </items>
    </pivotField>
    <pivotField numFmtId="14" showAll="0"/>
    <pivotField numFmtId="14" showAll="0"/>
    <pivotField axis="axisRow" showAll="0">
      <items count="5">
        <item x="2"/>
        <item x="0"/>
        <item x="1"/>
        <item x="3"/>
        <item t="default"/>
      </items>
    </pivotField>
    <pivotField dataField="1" showAll="0"/>
    <pivotField dataField="1" showAll="0"/>
    <pivotField dataField="1" showAll="0"/>
  </pivotFields>
  <rowFields count="2">
    <field x="0"/>
    <field x="3"/>
  </rowFields>
  <rowItems count="13">
    <i>
      <x/>
    </i>
    <i r="1">
      <x/>
    </i>
    <i r="1">
      <x v="1"/>
    </i>
    <i>
      <x v="1"/>
    </i>
    <i r="1">
      <x v="1"/>
    </i>
    <i r="1">
      <x v="3"/>
    </i>
    <i>
      <x v="2"/>
    </i>
    <i r="1">
      <x/>
    </i>
    <i r="1">
      <x v="1"/>
    </i>
    <i>
      <x v="3"/>
    </i>
    <i r="1">
      <x v="1"/>
    </i>
    <i r="1">
      <x v="2"/>
    </i>
    <i t="grand">
      <x/>
    </i>
  </rowItems>
  <colFields count="1">
    <field x="-2"/>
  </colFields>
  <colItems count="3">
    <i>
      <x/>
    </i>
    <i i="1">
      <x v="1"/>
    </i>
    <i i="2">
      <x v="2"/>
    </i>
  </colItems>
  <dataFields count="3">
    <dataField name="Sum of Ad_Spend_Actual" fld="4" baseField="0" baseItem="0"/>
    <dataField name="Sum of Net_Followers_Gained" fld="5" baseField="0" baseItem="0"/>
    <dataField name="Sum of Cost_per_Follower" fld="6" baseField="0" baseItem="0" numFmtId="2"/>
  </dataFields>
  <formats count="2">
    <format dxfId="1">
      <pivotArea dataOnly="0" labelOnly="1" outline="0" fieldPosition="0">
        <references count="1">
          <reference field="4294967294" count="3">
            <x v="0"/>
            <x v="1"/>
            <x v="2"/>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09D0E09-FD91-4AFB-89D2-2DE7F18A0AE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83:I135" firstHeaderRow="1" firstDataRow="2" firstDataCol="1"/>
  <pivotFields count="12">
    <pivotField axis="axisRow" numFmtId="164" showAll="0" sortType="ascending">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5">
        <item x="0"/>
        <item x="1"/>
        <item x="2"/>
        <item x="3"/>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5">
    <i>
      <x/>
    </i>
    <i>
      <x v="1"/>
    </i>
    <i>
      <x v="2"/>
    </i>
    <i>
      <x v="3"/>
    </i>
    <i t="grand">
      <x/>
    </i>
  </colItems>
  <dataFields count="1">
    <dataField name="Sum of Net_follower/Week" fld="7" baseField="0" baseItem="0"/>
  </dataFields>
  <formats count="1">
    <format dxfId="2">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98BBCBE-C0BE-4FB7-BCED-6F6ECEE2E88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54:I75" firstHeaderRow="1" firstDataRow="2" firstDataCol="1"/>
  <pivotFields count="12">
    <pivotField axis="axisRow" numFmtId="164"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5">
        <item x="0"/>
        <item x="1"/>
        <item x="2"/>
        <item x="3"/>
        <item t="default"/>
      </items>
    </pivotField>
    <pivotField showAll="0"/>
    <pivotField showAll="0"/>
    <pivotField showAll="0"/>
    <pivotField showAll="0"/>
    <pivotField showAll="0"/>
    <pivotField dataField="1" showAll="0"/>
    <pivotField showAll="0"/>
    <pivotField axis="axisRow" showAll="0" sortType="descending">
      <items count="15">
        <item sd="0" x="0"/>
        <item sd="0" x="1"/>
        <item sd="0" x="2"/>
        <item sd="0" x="3"/>
        <item sd="0" x="4"/>
        <item sd="0" x="5"/>
        <item sd="0" x="6"/>
        <item sd="0" x="7"/>
        <item sd="0" x="8"/>
        <item sd="0" x="9"/>
        <item sd="0" x="10"/>
        <item sd="0" x="11"/>
        <item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1"/>
    <field x="9"/>
    <field x="0"/>
  </rowFields>
  <rowItems count="20">
    <i>
      <x v="1"/>
    </i>
    <i r="1">
      <x v="12"/>
    </i>
    <i r="2">
      <x v="26"/>
    </i>
    <i r="2">
      <x v="27"/>
    </i>
    <i r="2">
      <x v="28"/>
    </i>
    <i r="2">
      <x v="29"/>
    </i>
    <i r="2">
      <x v="30"/>
    </i>
    <i r="1">
      <x v="9"/>
    </i>
    <i r="1">
      <x v="6"/>
    </i>
    <i r="1">
      <x v="7"/>
    </i>
    <i r="1">
      <x v="11"/>
    </i>
    <i r="1">
      <x v="10"/>
    </i>
    <i r="1">
      <x v="8"/>
    </i>
    <i>
      <x v="2"/>
    </i>
    <i r="1">
      <x v="3"/>
    </i>
    <i r="1">
      <x v="2"/>
    </i>
    <i r="1">
      <x v="1"/>
    </i>
    <i r="1">
      <x v="4"/>
    </i>
    <i r="1">
      <x v="5"/>
    </i>
    <i t="grand">
      <x/>
    </i>
  </rowItems>
  <colFields count="1">
    <field x="1"/>
  </colFields>
  <colItems count="5">
    <i>
      <x/>
    </i>
    <i>
      <x v="1"/>
    </i>
    <i>
      <x v="2"/>
    </i>
    <i>
      <x v="3"/>
    </i>
    <i t="grand">
      <x/>
    </i>
  </colItems>
  <dataFields count="1">
    <dataField name="Sum of Net_follower/Week" fld="7" baseField="0" baseItem="0"/>
  </dataFields>
  <formats count="1">
    <format dxfId="3">
      <pivotArea type="origin" dataOnly="0" labelOnly="1" outline="0" fieldPosition="0"/>
    </format>
  </formats>
  <conditionalFormats count="1">
    <conditionalFormat priority="6">
      <pivotAreas count="1">
        <pivotArea type="data" grandCol="1" collapsedLevelsAreSubtotals="1" fieldPosition="0">
          <references count="4">
            <reference field="4294967294" count="1" selected="0">
              <x v="0"/>
            </reference>
            <reference field="0" count="5">
              <x v="26"/>
              <x v="27"/>
              <x v="28"/>
              <x v="29"/>
              <x v="30"/>
            </reference>
            <reference field="9" count="1" selected="0">
              <x v="12"/>
            </reference>
            <reference field="11"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241C8F9-D17E-40F4-9591-015FA8D05E7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9:I25" firstHeaderRow="1" firstDataRow="2" firstDataCol="1"/>
  <pivotFields count="12">
    <pivotField axis="axisRow" numFmtId="164" showAll="0">
      <items count="51">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5">
        <item x="0"/>
        <item x="1"/>
        <item x="2"/>
        <item x="3"/>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1"/>
    <field x="9"/>
    <field x="0"/>
  </rowFields>
  <rowItems count="15">
    <i>
      <x v="1"/>
    </i>
    <i r="1">
      <x v="6"/>
    </i>
    <i r="1">
      <x v="7"/>
    </i>
    <i r="1">
      <x v="8"/>
    </i>
    <i r="1">
      <x v="9"/>
    </i>
    <i r="1">
      <x v="10"/>
    </i>
    <i r="1">
      <x v="11"/>
    </i>
    <i r="1">
      <x v="12"/>
    </i>
    <i>
      <x v="2"/>
    </i>
    <i r="1">
      <x v="1"/>
    </i>
    <i r="1">
      <x v="2"/>
    </i>
    <i r="1">
      <x v="3"/>
    </i>
    <i r="1">
      <x v="4"/>
    </i>
    <i r="1">
      <x v="5"/>
    </i>
    <i t="grand">
      <x/>
    </i>
  </rowItems>
  <colFields count="1">
    <field x="1"/>
  </colFields>
  <colItems count="5">
    <i>
      <x/>
    </i>
    <i>
      <x v="1"/>
    </i>
    <i>
      <x v="2"/>
    </i>
    <i>
      <x v="3"/>
    </i>
    <i t="grand">
      <x/>
    </i>
  </colItems>
  <dataFields count="1">
    <dataField name="Sum of Net_follower/Week" fld="7" baseField="0" baseItem="0"/>
  </dataFields>
  <formats count="1">
    <format dxfId="4">
      <pivotArea type="origin" dataOnly="0" labelOnly="1" outline="0" fieldPosition="0"/>
    </format>
  </formats>
  <conditionalFormats count="5">
    <conditionalFormat priority="16">
      <pivotAreas count="12">
        <pivotArea type="data" collapsedLevelsAreSubtotals="1" fieldPosition="0">
          <references count="4">
            <reference field="4294967294" count="1" selected="0">
              <x v="0"/>
            </reference>
            <reference field="1" count="1" selected="0">
              <x v="3"/>
            </reference>
            <reference field="9" count="1">
              <x v="6"/>
            </reference>
            <reference field="11" count="1" selected="0">
              <x v="1"/>
            </reference>
          </references>
        </pivotArea>
        <pivotArea type="data" collapsedLevelsAreSubtotals="1" fieldPosition="0">
          <references count="4">
            <reference field="4294967294" count="1" selected="0">
              <x v="0"/>
            </reference>
            <reference field="1" count="1" selected="0">
              <x v="3"/>
            </reference>
            <reference field="9" count="1">
              <x v="7"/>
            </reference>
            <reference field="11" count="1" selected="0">
              <x v="1"/>
            </reference>
          </references>
        </pivotArea>
        <pivotArea type="data" collapsedLevelsAreSubtotals="1" fieldPosition="0">
          <references count="4">
            <reference field="4294967294" count="1" selected="0">
              <x v="0"/>
            </reference>
            <reference field="1" count="1" selected="0">
              <x v="3"/>
            </reference>
            <reference field="9" count="1">
              <x v="8"/>
            </reference>
            <reference field="11" count="1" selected="0">
              <x v="1"/>
            </reference>
          </references>
        </pivotArea>
        <pivotArea type="data" collapsedLevelsAreSubtotals="1" fieldPosition="0">
          <references count="4">
            <reference field="4294967294" count="1" selected="0">
              <x v="0"/>
            </reference>
            <reference field="1" count="1" selected="0">
              <x v="3"/>
            </reference>
            <reference field="9" count="1">
              <x v="9"/>
            </reference>
            <reference field="11" count="1" selected="0">
              <x v="1"/>
            </reference>
          </references>
        </pivotArea>
        <pivotArea type="data" collapsedLevelsAreSubtotals="1" fieldPosition="0">
          <references count="4">
            <reference field="4294967294" count="1" selected="0">
              <x v="0"/>
            </reference>
            <reference field="1" count="1" selected="0">
              <x v="3"/>
            </reference>
            <reference field="9" count="1">
              <x v="10"/>
            </reference>
            <reference field="11" count="1" selected="0">
              <x v="1"/>
            </reference>
          </references>
        </pivotArea>
        <pivotArea type="data" collapsedLevelsAreSubtotals="1" fieldPosition="0">
          <references count="4">
            <reference field="4294967294" count="1" selected="0">
              <x v="0"/>
            </reference>
            <reference field="1" count="1" selected="0">
              <x v="3"/>
            </reference>
            <reference field="9" count="1">
              <x v="11"/>
            </reference>
            <reference field="11" count="1" selected="0">
              <x v="1"/>
            </reference>
          </references>
        </pivotArea>
        <pivotArea type="data" collapsedLevelsAreSubtotals="1" fieldPosition="0">
          <references count="4">
            <reference field="4294967294" count="1" selected="0">
              <x v="0"/>
            </reference>
            <reference field="1" count="1" selected="0">
              <x v="3"/>
            </reference>
            <reference field="9" count="1">
              <x v="12"/>
            </reference>
            <reference field="11" count="1" selected="0">
              <x v="1"/>
            </reference>
          </references>
        </pivotArea>
        <pivotArea type="data" collapsedLevelsAreSubtotals="1" fieldPosition="0">
          <references count="4">
            <reference field="4294967294" count="1" selected="0">
              <x v="0"/>
            </reference>
            <reference field="1" count="1" selected="0">
              <x v="3"/>
            </reference>
            <reference field="9" count="1">
              <x v="1"/>
            </reference>
            <reference field="11" count="1" selected="0">
              <x v="2"/>
            </reference>
          </references>
        </pivotArea>
        <pivotArea type="data" collapsedLevelsAreSubtotals="1" fieldPosition="0">
          <references count="4">
            <reference field="4294967294" count="1" selected="0">
              <x v="0"/>
            </reference>
            <reference field="1" count="1" selected="0">
              <x v="3"/>
            </reference>
            <reference field="9" count="1">
              <x v="2"/>
            </reference>
            <reference field="11" count="1" selected="0">
              <x v="2"/>
            </reference>
          </references>
        </pivotArea>
        <pivotArea type="data" collapsedLevelsAreSubtotals="1" fieldPosition="0">
          <references count="4">
            <reference field="4294967294" count="1" selected="0">
              <x v="0"/>
            </reference>
            <reference field="1" count="1" selected="0">
              <x v="3"/>
            </reference>
            <reference field="9" count="1">
              <x v="3"/>
            </reference>
            <reference field="11" count="1" selected="0">
              <x v="2"/>
            </reference>
          </references>
        </pivotArea>
        <pivotArea type="data" collapsedLevelsAreSubtotals="1" fieldPosition="0">
          <references count="4">
            <reference field="4294967294" count="1" selected="0">
              <x v="0"/>
            </reference>
            <reference field="1" count="1" selected="0">
              <x v="3"/>
            </reference>
            <reference field="9" count="1">
              <x v="4"/>
            </reference>
            <reference field="11" count="1" selected="0">
              <x v="2"/>
            </reference>
          </references>
        </pivotArea>
        <pivotArea type="data" collapsedLevelsAreSubtotals="1" fieldPosition="0">
          <references count="4">
            <reference field="4294967294" count="1" selected="0">
              <x v="0"/>
            </reference>
            <reference field="1" count="1" selected="0">
              <x v="3"/>
            </reference>
            <reference field="9" count="1">
              <x v="5"/>
            </reference>
            <reference field="11" count="1" selected="0">
              <x v="2"/>
            </reference>
          </references>
        </pivotArea>
      </pivotAreas>
    </conditionalFormat>
    <conditionalFormat priority="15">
      <pivotAreas count="12">
        <pivotArea type="data" collapsedLevelsAreSubtotals="1" fieldPosition="0">
          <references count="4">
            <reference field="4294967294" count="1" selected="0">
              <x v="0"/>
            </reference>
            <reference field="1" count="1" selected="0">
              <x v="2"/>
            </reference>
            <reference field="9" count="1">
              <x v="6"/>
            </reference>
            <reference field="11" count="1" selected="0">
              <x v="1"/>
            </reference>
          </references>
        </pivotArea>
        <pivotArea type="data" collapsedLevelsAreSubtotals="1" fieldPosition="0">
          <references count="4">
            <reference field="4294967294" count="1" selected="0">
              <x v="0"/>
            </reference>
            <reference field="1" count="1" selected="0">
              <x v="2"/>
            </reference>
            <reference field="9" count="1">
              <x v="7"/>
            </reference>
            <reference field="11" count="1" selected="0">
              <x v="1"/>
            </reference>
          </references>
        </pivotArea>
        <pivotArea type="data" collapsedLevelsAreSubtotals="1" fieldPosition="0">
          <references count="4">
            <reference field="4294967294" count="1" selected="0">
              <x v="0"/>
            </reference>
            <reference field="1" count="1" selected="0">
              <x v="2"/>
            </reference>
            <reference field="9" count="1">
              <x v="8"/>
            </reference>
            <reference field="11" count="1" selected="0">
              <x v="1"/>
            </reference>
          </references>
        </pivotArea>
        <pivotArea type="data" collapsedLevelsAreSubtotals="1" fieldPosition="0">
          <references count="4">
            <reference field="4294967294" count="1" selected="0">
              <x v="0"/>
            </reference>
            <reference field="1" count="1" selected="0">
              <x v="2"/>
            </reference>
            <reference field="9" count="1">
              <x v="9"/>
            </reference>
            <reference field="11" count="1" selected="0">
              <x v="1"/>
            </reference>
          </references>
        </pivotArea>
        <pivotArea type="data" collapsedLevelsAreSubtotals="1" fieldPosition="0">
          <references count="4">
            <reference field="4294967294" count="1" selected="0">
              <x v="0"/>
            </reference>
            <reference field="1" count="1" selected="0">
              <x v="2"/>
            </reference>
            <reference field="9" count="1">
              <x v="10"/>
            </reference>
            <reference field="11" count="1" selected="0">
              <x v="1"/>
            </reference>
          </references>
        </pivotArea>
        <pivotArea type="data" collapsedLevelsAreSubtotals="1" fieldPosition="0">
          <references count="4">
            <reference field="4294967294" count="1" selected="0">
              <x v="0"/>
            </reference>
            <reference field="1" count="1" selected="0">
              <x v="2"/>
            </reference>
            <reference field="9" count="1">
              <x v="11"/>
            </reference>
            <reference field="11" count="1" selected="0">
              <x v="1"/>
            </reference>
          </references>
        </pivotArea>
        <pivotArea type="data" collapsedLevelsAreSubtotals="1" fieldPosition="0">
          <references count="4">
            <reference field="4294967294" count="1" selected="0">
              <x v="0"/>
            </reference>
            <reference field="1" count="1" selected="0">
              <x v="2"/>
            </reference>
            <reference field="9" count="1">
              <x v="12"/>
            </reference>
            <reference field="11" count="1" selected="0">
              <x v="1"/>
            </reference>
          </references>
        </pivotArea>
        <pivotArea type="data" collapsedLevelsAreSubtotals="1" fieldPosition="0">
          <references count="4">
            <reference field="4294967294" count="1" selected="0">
              <x v="0"/>
            </reference>
            <reference field="1" count="1" selected="0">
              <x v="2"/>
            </reference>
            <reference field="9" count="1">
              <x v="1"/>
            </reference>
            <reference field="11" count="1" selected="0">
              <x v="2"/>
            </reference>
          </references>
        </pivotArea>
        <pivotArea type="data" collapsedLevelsAreSubtotals="1" fieldPosition="0">
          <references count="4">
            <reference field="4294967294" count="1" selected="0">
              <x v="0"/>
            </reference>
            <reference field="1" count="1" selected="0">
              <x v="2"/>
            </reference>
            <reference field="9" count="1">
              <x v="2"/>
            </reference>
            <reference field="11" count="1" selected="0">
              <x v="2"/>
            </reference>
          </references>
        </pivotArea>
        <pivotArea type="data" collapsedLevelsAreSubtotals="1" fieldPosition="0">
          <references count="4">
            <reference field="4294967294" count="1" selected="0">
              <x v="0"/>
            </reference>
            <reference field="1" count="1" selected="0">
              <x v="2"/>
            </reference>
            <reference field="9" count="1">
              <x v="3"/>
            </reference>
            <reference field="11" count="1" selected="0">
              <x v="2"/>
            </reference>
          </references>
        </pivotArea>
        <pivotArea type="data" collapsedLevelsAreSubtotals="1" fieldPosition="0">
          <references count="4">
            <reference field="4294967294" count="1" selected="0">
              <x v="0"/>
            </reference>
            <reference field="1" count="1" selected="0">
              <x v="2"/>
            </reference>
            <reference field="9" count="1">
              <x v="4"/>
            </reference>
            <reference field="11" count="1" selected="0">
              <x v="2"/>
            </reference>
          </references>
        </pivotArea>
        <pivotArea type="data" collapsedLevelsAreSubtotals="1" fieldPosition="0">
          <references count="4">
            <reference field="4294967294" count="1" selected="0">
              <x v="0"/>
            </reference>
            <reference field="1" count="1" selected="0">
              <x v="2"/>
            </reference>
            <reference field="9" count="1">
              <x v="5"/>
            </reference>
            <reference field="11" count="1" selected="0">
              <x v="2"/>
            </reference>
          </references>
        </pivotArea>
      </pivotAreas>
    </conditionalFormat>
    <conditionalFormat priority="14">
      <pivotAreas count="12">
        <pivotArea type="data" collapsedLevelsAreSubtotals="1" fieldPosition="0">
          <references count="4">
            <reference field="4294967294" count="1" selected="0">
              <x v="0"/>
            </reference>
            <reference field="1" count="1" selected="0">
              <x v="1"/>
            </reference>
            <reference field="9" count="1">
              <x v="6"/>
            </reference>
            <reference field="11" count="1" selected="0">
              <x v="1"/>
            </reference>
          </references>
        </pivotArea>
        <pivotArea type="data" collapsedLevelsAreSubtotals="1" fieldPosition="0">
          <references count="4">
            <reference field="4294967294" count="1" selected="0">
              <x v="0"/>
            </reference>
            <reference field="1" count="1" selected="0">
              <x v="1"/>
            </reference>
            <reference field="9" count="1">
              <x v="7"/>
            </reference>
            <reference field="11" count="1" selected="0">
              <x v="1"/>
            </reference>
          </references>
        </pivotArea>
        <pivotArea type="data" collapsedLevelsAreSubtotals="1" fieldPosition="0">
          <references count="4">
            <reference field="4294967294" count="1" selected="0">
              <x v="0"/>
            </reference>
            <reference field="1" count="1" selected="0">
              <x v="1"/>
            </reference>
            <reference field="9" count="1">
              <x v="8"/>
            </reference>
            <reference field="11" count="1" selected="0">
              <x v="1"/>
            </reference>
          </references>
        </pivotArea>
        <pivotArea type="data" collapsedLevelsAreSubtotals="1" fieldPosition="0">
          <references count="4">
            <reference field="4294967294" count="1" selected="0">
              <x v="0"/>
            </reference>
            <reference field="1" count="1" selected="0">
              <x v="1"/>
            </reference>
            <reference field="9" count="1">
              <x v="9"/>
            </reference>
            <reference field="11" count="1" selected="0">
              <x v="1"/>
            </reference>
          </references>
        </pivotArea>
        <pivotArea type="data" collapsedLevelsAreSubtotals="1" fieldPosition="0">
          <references count="4">
            <reference field="4294967294" count="1" selected="0">
              <x v="0"/>
            </reference>
            <reference field="1" count="1" selected="0">
              <x v="1"/>
            </reference>
            <reference field="9" count="1">
              <x v="10"/>
            </reference>
            <reference field="11" count="1" selected="0">
              <x v="1"/>
            </reference>
          </references>
        </pivotArea>
        <pivotArea type="data" collapsedLevelsAreSubtotals="1" fieldPosition="0">
          <references count="4">
            <reference field="4294967294" count="1" selected="0">
              <x v="0"/>
            </reference>
            <reference field="1" count="1" selected="0">
              <x v="1"/>
            </reference>
            <reference field="9" count="1">
              <x v="11"/>
            </reference>
            <reference field="11" count="1" selected="0">
              <x v="1"/>
            </reference>
          </references>
        </pivotArea>
        <pivotArea type="data" collapsedLevelsAreSubtotals="1" fieldPosition="0">
          <references count="4">
            <reference field="4294967294" count="1" selected="0">
              <x v="0"/>
            </reference>
            <reference field="1" count="1" selected="0">
              <x v="1"/>
            </reference>
            <reference field="9" count="1">
              <x v="12"/>
            </reference>
            <reference field="11" count="1" selected="0">
              <x v="1"/>
            </reference>
          </references>
        </pivotArea>
        <pivotArea type="data" collapsedLevelsAreSubtotals="1" fieldPosition="0">
          <references count="4">
            <reference field="4294967294" count="1" selected="0">
              <x v="0"/>
            </reference>
            <reference field="1" count="1" selected="0">
              <x v="1"/>
            </reference>
            <reference field="9" count="1">
              <x v="1"/>
            </reference>
            <reference field="11" count="1" selected="0">
              <x v="2"/>
            </reference>
          </references>
        </pivotArea>
        <pivotArea type="data" collapsedLevelsAreSubtotals="1" fieldPosition="0">
          <references count="4">
            <reference field="4294967294" count="1" selected="0">
              <x v="0"/>
            </reference>
            <reference field="1" count="1" selected="0">
              <x v="1"/>
            </reference>
            <reference field="9" count="1">
              <x v="2"/>
            </reference>
            <reference field="11" count="1" selected="0">
              <x v="2"/>
            </reference>
          </references>
        </pivotArea>
        <pivotArea type="data" collapsedLevelsAreSubtotals="1" fieldPosition="0">
          <references count="4">
            <reference field="4294967294" count="1" selected="0">
              <x v="0"/>
            </reference>
            <reference field="1" count="1" selected="0">
              <x v="1"/>
            </reference>
            <reference field="9" count="1">
              <x v="3"/>
            </reference>
            <reference field="11" count="1" selected="0">
              <x v="2"/>
            </reference>
          </references>
        </pivotArea>
        <pivotArea type="data" collapsedLevelsAreSubtotals="1" fieldPosition="0">
          <references count="4">
            <reference field="4294967294" count="1" selected="0">
              <x v="0"/>
            </reference>
            <reference field="1" count="1" selected="0">
              <x v="1"/>
            </reference>
            <reference field="9" count="1">
              <x v="4"/>
            </reference>
            <reference field="11" count="1" selected="0">
              <x v="2"/>
            </reference>
          </references>
        </pivotArea>
        <pivotArea type="data" collapsedLevelsAreSubtotals="1" fieldPosition="0">
          <references count="4">
            <reference field="4294967294" count="1" selected="0">
              <x v="0"/>
            </reference>
            <reference field="1" count="1" selected="0">
              <x v="1"/>
            </reference>
            <reference field="9" count="1">
              <x v="5"/>
            </reference>
            <reference field="11" count="1" selected="0">
              <x v="2"/>
            </reference>
          </references>
        </pivotArea>
      </pivotAreas>
    </conditionalFormat>
    <conditionalFormat priority="13">
      <pivotAreas count="12">
        <pivotArea type="data" collapsedLevelsAreSubtotals="1" fieldPosition="0">
          <references count="4">
            <reference field="4294967294" count="1" selected="0">
              <x v="0"/>
            </reference>
            <reference field="1" count="1" selected="0">
              <x v="0"/>
            </reference>
            <reference field="9" count="1">
              <x v="6"/>
            </reference>
            <reference field="11" count="1" selected="0">
              <x v="1"/>
            </reference>
          </references>
        </pivotArea>
        <pivotArea type="data" collapsedLevelsAreSubtotals="1" fieldPosition="0">
          <references count="4">
            <reference field="4294967294" count="1" selected="0">
              <x v="0"/>
            </reference>
            <reference field="1" count="1" selected="0">
              <x v="0"/>
            </reference>
            <reference field="9" count="1">
              <x v="7"/>
            </reference>
            <reference field="11" count="1" selected="0">
              <x v="1"/>
            </reference>
          </references>
        </pivotArea>
        <pivotArea type="data" collapsedLevelsAreSubtotals="1" fieldPosition="0">
          <references count="4">
            <reference field="4294967294" count="1" selected="0">
              <x v="0"/>
            </reference>
            <reference field="1" count="1" selected="0">
              <x v="0"/>
            </reference>
            <reference field="9" count="1">
              <x v="8"/>
            </reference>
            <reference field="11" count="1" selected="0">
              <x v="1"/>
            </reference>
          </references>
        </pivotArea>
        <pivotArea type="data" collapsedLevelsAreSubtotals="1" fieldPosition="0">
          <references count="4">
            <reference field="4294967294" count="1" selected="0">
              <x v="0"/>
            </reference>
            <reference field="1" count="1" selected="0">
              <x v="0"/>
            </reference>
            <reference field="9" count="1">
              <x v="9"/>
            </reference>
            <reference field="11" count="1" selected="0">
              <x v="1"/>
            </reference>
          </references>
        </pivotArea>
        <pivotArea type="data" collapsedLevelsAreSubtotals="1" fieldPosition="0">
          <references count="4">
            <reference field="4294967294" count="1" selected="0">
              <x v="0"/>
            </reference>
            <reference field="1" count="1" selected="0">
              <x v="0"/>
            </reference>
            <reference field="9" count="1">
              <x v="10"/>
            </reference>
            <reference field="11" count="1" selected="0">
              <x v="1"/>
            </reference>
          </references>
        </pivotArea>
        <pivotArea type="data" collapsedLevelsAreSubtotals="1" fieldPosition="0">
          <references count="4">
            <reference field="4294967294" count="1" selected="0">
              <x v="0"/>
            </reference>
            <reference field="1" count="1" selected="0">
              <x v="0"/>
            </reference>
            <reference field="9" count="1">
              <x v="11"/>
            </reference>
            <reference field="11" count="1" selected="0">
              <x v="1"/>
            </reference>
          </references>
        </pivotArea>
        <pivotArea type="data" collapsedLevelsAreSubtotals="1" fieldPosition="0">
          <references count="4">
            <reference field="4294967294" count="1" selected="0">
              <x v="0"/>
            </reference>
            <reference field="1" count="1" selected="0">
              <x v="0"/>
            </reference>
            <reference field="9" count="1">
              <x v="12"/>
            </reference>
            <reference field="11" count="1" selected="0">
              <x v="1"/>
            </reference>
          </references>
        </pivotArea>
        <pivotArea type="data" collapsedLevelsAreSubtotals="1" fieldPosition="0">
          <references count="4">
            <reference field="4294967294" count="1" selected="0">
              <x v="0"/>
            </reference>
            <reference field="1" count="1" selected="0">
              <x v="0"/>
            </reference>
            <reference field="9" count="1">
              <x v="1"/>
            </reference>
            <reference field="11" count="1" selected="0">
              <x v="2"/>
            </reference>
          </references>
        </pivotArea>
        <pivotArea type="data" collapsedLevelsAreSubtotals="1" fieldPosition="0">
          <references count="4">
            <reference field="4294967294" count="1" selected="0">
              <x v="0"/>
            </reference>
            <reference field="1" count="1" selected="0">
              <x v="0"/>
            </reference>
            <reference field="9" count="1">
              <x v="2"/>
            </reference>
            <reference field="11" count="1" selected="0">
              <x v="2"/>
            </reference>
          </references>
        </pivotArea>
        <pivotArea type="data" collapsedLevelsAreSubtotals="1" fieldPosition="0">
          <references count="4">
            <reference field="4294967294" count="1" selected="0">
              <x v="0"/>
            </reference>
            <reference field="1" count="1" selected="0">
              <x v="0"/>
            </reference>
            <reference field="9" count="1">
              <x v="3"/>
            </reference>
            <reference field="11" count="1" selected="0">
              <x v="2"/>
            </reference>
          </references>
        </pivotArea>
        <pivotArea type="data" collapsedLevelsAreSubtotals="1" fieldPosition="0">
          <references count="4">
            <reference field="4294967294" count="1" selected="0">
              <x v="0"/>
            </reference>
            <reference field="1" count="1" selected="0">
              <x v="0"/>
            </reference>
            <reference field="9" count="1">
              <x v="4"/>
            </reference>
            <reference field="11" count="1" selected="0">
              <x v="2"/>
            </reference>
          </references>
        </pivotArea>
        <pivotArea type="data" collapsedLevelsAreSubtotals="1" fieldPosition="0">
          <references count="4">
            <reference field="4294967294" count="1" selected="0">
              <x v="0"/>
            </reference>
            <reference field="1" count="1" selected="0">
              <x v="0"/>
            </reference>
            <reference field="9" count="1">
              <x v="5"/>
            </reference>
            <reference field="11" count="1" selected="0">
              <x v="2"/>
            </reference>
          </references>
        </pivotArea>
      </pivotAreas>
    </conditionalFormat>
    <conditionalFormat priority="12">
      <pivotAreas count="1">
        <pivotArea type="data" grandRow="1" outline="0" collapsedLevelsAreSubtotals="1" fieldPosition="0">
          <references count="2">
            <reference field="4294967294" count="1" selected="0">
              <x v="0"/>
            </reference>
            <reference field="1" count="4" selected="0">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156F82C2-DA28-43EC-B5AC-D715D7FBB09D}" autoFormatId="16" applyNumberFormats="0" applyBorderFormats="0" applyFontFormats="0" applyPatternFormats="0" applyAlignmentFormats="0" applyWidthHeightFormats="0">
  <queryTableRefresh nextId="23" unboundColumnsRight="3">
    <queryTableFields count="19">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3" name="Campaign_Name" tableColumnId="13"/>
      <queryTableField id="14" name="Engagement Rate" tableColumnId="14"/>
      <queryTableField id="15" name="CTR" tableColumnId="15"/>
      <queryTableField id="16" name="Total Interactions" tableColumnId="16"/>
      <queryTableField id="19" name="Tags" tableColumnId="19"/>
      <queryTableField id="20" dataBound="0" tableColumnId="12"/>
      <queryTableField id="21" dataBound="0" tableColumnId="17"/>
      <queryTableField id="22" dataBound="0"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77B953F7-B447-44BA-A6FB-FEDC6E0A5E9F}" autoFormatId="16" applyNumberFormats="0" applyBorderFormats="0" applyFontFormats="0" applyPatternFormats="0" applyAlignmentFormats="0" applyWidthHeightFormats="0">
  <queryTableRefresh nextId="27">
    <queryTableFields count="9">
      <queryTableField id="11" name="Week_Start_Date" tableColumnId="3"/>
      <queryTableField id="12" name="Platform" tableColumnId="4"/>
      <queryTableField id="13" name="New_Followers" tableColumnId="5"/>
      <queryTableField id="14" name="Unfollows" tableColumnId="6"/>
      <queryTableField id="15" name="Total_Followers" tableColumnId="7"/>
      <queryTableField id="16" name="Engagement_Rate" tableColumnId="8"/>
      <queryTableField id="17" name="Ad_Spend" tableColumnId="9"/>
      <queryTableField id="18" name="Net_follower/Week" tableColumnId="10"/>
      <queryTableField id="9" name="yyyy-mm"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8D13596A-F17A-4248-9103-D8C603935147}" autoFormatId="16" applyNumberFormats="0" applyBorderFormats="0" applyFontFormats="0" applyPatternFormats="0" applyAlignmentFormats="0" applyWidthHeightFormats="0">
  <queryTableRefresh nextId="21">
    <queryTableFields count="10">
      <queryTableField id="3" name="Week_Start_Date" tableColumnId="3"/>
      <queryTableField id="4" name="Platform" tableColumnId="4"/>
      <queryTableField id="5" name="New_Followers" tableColumnId="5"/>
      <queryTableField id="6" name="Unfollows" tableColumnId="6"/>
      <queryTableField id="7" name="Total_Followers" tableColumnId="7"/>
      <queryTableField id="8" name="Engagement_Rate" tableColumnId="8"/>
      <queryTableField id="9" name="Ad_Spend" tableColumnId="9"/>
      <queryTableField id="10" name="Net_follower/Week" tableColumnId="10"/>
      <queryTableField id="1" name="yyyy-mm" tableColumnId="1"/>
      <queryTableField id="20" name="yyyy-mm-dd"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0ED432B1-5BC9-46DB-B622-2E364EBCBC50}" autoFormatId="16" applyNumberFormats="0" applyBorderFormats="0" applyFontFormats="0" applyPatternFormats="0" applyAlignmentFormats="0" applyWidthHeightFormats="0">
  <queryTableRefresh nextId="20">
    <queryTableFields count="7">
      <queryTableField id="1" name="Campaign_Name" tableColumnId="1"/>
      <queryTableField id="12" name="Start_Date" tableColumnId="12"/>
      <queryTableField id="13" name="End_Date" tableColumnId="13"/>
      <queryTableField id="14" name="Target_Platforms" tableColumnId="14"/>
      <queryTableField id="11" name="Ad_Spend_Actual" tableColumnId="11"/>
      <queryTableField id="10" name="Net_Followers_Gained" tableColumnId="10"/>
      <queryTableField id="15" name="Cost_per_Follower"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9EB8E121-C932-45E9-BDE0-A7F4D02E1A38}" autoFormatId="16" applyNumberFormats="0" applyBorderFormats="0" applyFontFormats="0" applyPatternFormats="0" applyAlignmentFormats="0" applyWidthHeightFormats="0">
  <queryTableRefresh nextId="7">
    <queryTableFields count="6">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018A80-3AFD-4DAD-9666-DDF1327BD61A}" name="TBL_Post" displayName="TBL_Post" ref="A1:M301" totalsRowShown="0" headerRowDxfId="183" dataDxfId="181" headerRowBorderDxfId="182" tableBorderDxfId="180">
  <autoFilter ref="A1:M301" xr:uid="{03018A80-3AFD-4DAD-9666-DDF1327BD61A}"/>
  <tableColumns count="13">
    <tableColumn id="1" xr3:uid="{40BEEFE9-ACFC-49A0-9890-FC3BDBFD12D5}" name="Post ID" dataDxfId="179"/>
    <tableColumn id="2" xr3:uid="{89FDD855-3A94-4F9C-BCFB-6F6DAB03C39C}" name="Platform" dataDxfId="178"/>
    <tableColumn id="3" xr3:uid="{067D2F2D-BE47-49F3-A1A8-95725D02195D}" name="Date" dataDxfId="177"/>
    <tableColumn id="4" xr3:uid="{923890C2-AD7B-4C17-A15C-3CA910968A1B}" name="Content Type" dataDxfId="176"/>
    <tableColumn id="5" xr3:uid="{857189D8-8C98-4952-91E1-DFC3448A9022}" name="Post Text" dataDxfId="175"/>
    <tableColumn id="6" xr3:uid="{E1D987BD-5C74-4E41-AEFB-4E20D240A070}" name="Likes" dataDxfId="174"/>
    <tableColumn id="7" xr3:uid="{32D3CBF2-F56E-47B5-ABD1-32D394DA7EE6}" name="Shares" dataDxfId="173"/>
    <tableColumn id="8" xr3:uid="{F9292CB5-D64E-4F4D-9C60-561295FFFDF9}" name="Comments" dataDxfId="172"/>
    <tableColumn id="9" xr3:uid="{A1E3F01E-1690-4142-B8CB-3302B4BF9FF7}" name="Impressions" dataDxfId="171"/>
    <tableColumn id="10" xr3:uid="{65A38BB8-A882-4E33-8943-AA0E9DA2CD26}" name="Reach" dataDxfId="170"/>
    <tableColumn id="11" xr3:uid="{C823BACE-E611-4EBB-B8AD-0B3DDF1D8AB0}" name="Clicks" dataDxfId="169"/>
    <tableColumn id="12" xr3:uid="{A45CFD89-BEED-4A24-B050-CDECB9554CDE}" name="Hashtags Used" dataDxfId="168"/>
    <tableColumn id="13" xr3:uid="{90F08B6A-132A-45EE-A86B-82B15AB0EAE9}" name="Campaign_Name" dataDxfId="16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2C2A88-9CDD-4844-A43B-761A4FC95F0E}" name="TBL_Engagement_summary" displayName="TBL_Engagement_summary" ref="A1:G201" totalsRowShown="0" headerRowDxfId="166" dataDxfId="165">
  <autoFilter ref="A1:G201" xr:uid="{E62C2A88-9CDD-4844-A43B-761A4FC95F0E}">
    <filterColumn colId="1">
      <filters>
        <filter val="Facebook"/>
      </filters>
    </filterColumn>
  </autoFilter>
  <sortState xmlns:xlrd2="http://schemas.microsoft.com/office/spreadsheetml/2017/richdata2" ref="A2:G201">
    <sortCondition descending="1" ref="A1:A201"/>
  </sortState>
  <tableColumns count="7">
    <tableColumn id="1" xr3:uid="{C55C7804-F517-4A44-ABA2-795521BB902E}" name="Week_Start_Date" dataDxfId="164"/>
    <tableColumn id="2" xr3:uid="{B4E46D89-CD5E-409B-A063-AA699DC8A12C}" name="Platform" dataDxfId="163"/>
    <tableColumn id="3" xr3:uid="{616EE919-7297-4D41-8CAE-83D352BFAE05}" name="New_Followers" dataDxfId="162"/>
    <tableColumn id="4" xr3:uid="{1469266C-2EC1-4CFA-A6D6-77B7497C6F58}" name="Unfollows" dataDxfId="161"/>
    <tableColumn id="5" xr3:uid="{43DF8D52-CCB0-47C1-A236-9AEBEFC54A9C}" name="Total_Followers" dataDxfId="160"/>
    <tableColumn id="6" xr3:uid="{304E6339-3325-4011-B056-E0A024FBEE22}" name="Engagement_Rate" dataDxfId="159"/>
    <tableColumn id="7" xr3:uid="{2379B672-2B33-453C-ACE4-D83EE1A4E90C}" name="Ad_Spend" dataDxfId="15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BBDFD6-0A7E-4EBE-ACE2-CC1F949C5DC1}" name="TBL_Campaign_Data" displayName="TBL_Campaign_Data" ref="A1:F5" totalsRowShown="0" headerRowBorderDxfId="157" tableBorderDxfId="156" totalsRowBorderDxfId="155">
  <autoFilter ref="A1:F5" xr:uid="{CDBBDFD6-0A7E-4EBE-ACE2-CC1F949C5DC1}"/>
  <tableColumns count="6">
    <tableColumn id="1" xr3:uid="{8A046EA3-EBB0-4E35-B790-33A812B81437}" name="Campaign_Name" dataDxfId="154"/>
    <tableColumn id="2" xr3:uid="{604E063D-596C-46BC-BF29-55E58712C119}" name="Start_Date" dataDxfId="153"/>
    <tableColumn id="3" xr3:uid="{661329A1-0B2B-45AC-BE07-CAA7DFBB005A}" name="End_Date" dataDxfId="152"/>
    <tableColumn id="4" xr3:uid="{15688F0B-CDB1-460C-B956-8651731F34D2}" name="Objective" dataDxfId="151"/>
    <tableColumn id="5" xr3:uid="{7CF41357-A810-4928-94FC-1A1AA082261A}" name="Total_Budget" dataDxfId="150"/>
    <tableColumn id="6" xr3:uid="{19812DBE-506D-49F6-BC44-9D59984C9927}" name="Target_Platforms" dataDxfId="14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68D604-E664-48E0-BA2F-18E3E6DE0F50}" name="TBL_Post_1" displayName="TBL_Post_1" ref="A1:S457" tableType="queryTable" totalsRowShown="0">
  <autoFilter ref="A1:S457" xr:uid="{AA68D604-E664-48E0-BA2F-18E3E6DE0F50}"/>
  <tableColumns count="19">
    <tableColumn id="1" xr3:uid="{232B392E-72BC-4A3F-AF9C-C986ACBD8675}" uniqueName="1" name="Post ID" queryTableFieldId="1" dataDxfId="148"/>
    <tableColumn id="2" xr3:uid="{4E82658A-7F76-442A-9076-BE41150901F9}" uniqueName="2" name="Platform" queryTableFieldId="2" dataDxfId="147"/>
    <tableColumn id="3" xr3:uid="{3DD5C02F-1338-419A-8A4E-97AA029B7763}" uniqueName="3" name="Date" queryTableFieldId="3" dataDxfId="146"/>
    <tableColumn id="4" xr3:uid="{F8A30A29-F786-4E4F-9100-CCB5B5251BA7}" uniqueName="4" name="Content Type" queryTableFieldId="4" dataDxfId="145"/>
    <tableColumn id="5" xr3:uid="{76067694-1F42-4F75-8F9A-98DDDED399B5}" uniqueName="5" name="Post Text" queryTableFieldId="5" dataDxfId="144"/>
    <tableColumn id="6" xr3:uid="{E1C2436E-66EA-41A4-9933-817EF6058056}" uniqueName="6" name="Likes" queryTableFieldId="6" dataDxfId="143"/>
    <tableColumn id="7" xr3:uid="{0736B3C1-F734-4A66-8B6A-1CB0A93B4E43}" uniqueName="7" name="Shares" queryTableFieldId="7" dataDxfId="142"/>
    <tableColumn id="8" xr3:uid="{88A92E6B-E361-444B-9661-B1E13334E727}" uniqueName="8" name="Comments" queryTableFieldId="8" dataDxfId="141"/>
    <tableColumn id="9" xr3:uid="{D3749253-A79F-4601-9B91-35F169D41C5A}" uniqueName="9" name="Impressions" queryTableFieldId="9" dataDxfId="140"/>
    <tableColumn id="10" xr3:uid="{9BCBDCCB-2850-477C-BF6D-3B3BDDAA8C05}" uniqueName="10" name="Reach" queryTableFieldId="10" dataDxfId="139"/>
    <tableColumn id="11" xr3:uid="{6A2E357B-627E-49D1-AC50-7FE9B105CAEE}" uniqueName="11" name="Clicks" queryTableFieldId="11" dataDxfId="138"/>
    <tableColumn id="13" xr3:uid="{43C88124-7282-4341-88E5-3B3850AE8B8E}" uniqueName="13" name="Campaign_Name" queryTableFieldId="13" dataDxfId="137"/>
    <tableColumn id="14" xr3:uid="{6A52965F-4D51-4225-8569-D087D60611ED}" uniqueName="14" name="Engagement Rate" queryTableFieldId="14" dataDxfId="136"/>
    <tableColumn id="15" xr3:uid="{46586D09-DD4C-427B-8019-B854AB24AA49}" uniqueName="15" name="CTR" queryTableFieldId="15" dataDxfId="135"/>
    <tableColumn id="16" xr3:uid="{0BC8FC26-FF18-4F55-8D39-F554E5E744B4}" uniqueName="16" name="Total Interactions" queryTableFieldId="16" dataDxfId="134"/>
    <tableColumn id="19" xr3:uid="{D6174FA4-BB61-4172-9F75-B6E06C39B24B}" uniqueName="19" name="Tags" queryTableFieldId="19" dataDxfId="133"/>
    <tableColumn id="12" xr3:uid="{05712554-AB34-42F1-95DA-C8EF3A1C28DA}" uniqueName="12" name="Period" queryTableFieldId="20" dataDxfId="132">
      <calculatedColumnFormula>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calculatedColumnFormula>
    </tableColumn>
    <tableColumn id="17" xr3:uid="{BA695D01-E7F6-40F5-A92F-6ECA5707DA81}" uniqueName="17" name="Campaign StartDate" queryTableFieldId="21" dataDxfId="131">
      <calculatedColumnFormula>_xlfn.XLOOKUP(TBL_Post_1[[#This Row],[Campaign_Name]],TBL_Campaign_Data_1[Campaign_Name],TBL_Campaign_Data_1[Start_Date])</calculatedColumnFormula>
    </tableColumn>
    <tableColumn id="18" xr3:uid="{CA944A43-6538-4E5E-BAAC-1978A8536572}" uniqueName="18" name="Campaign EndDate" queryTableFieldId="22" dataDxfId="130">
      <calculatedColumnFormula>_xlfn.XLOOKUP(TBL_Post_1[[#This Row],[Campaign_Name]],TBL_Campaign_Data_1[Campaign_Name],TBL_Campaign_Data_1[End_Date])</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F5E530-B3F4-4EE4-A39D-815F7FFD75AA}" name="TBL_Engagement_summary_1" displayName="TBL_Engagement_summary_1" ref="A1:I201" tableType="queryTable" totalsRowShown="0">
  <autoFilter ref="A1:I201" xr:uid="{14F5E530-B3F4-4EE4-A39D-815F7FFD75AA}"/>
  <tableColumns count="9">
    <tableColumn id="3" xr3:uid="{F378B7E8-3100-47D5-8080-01CCA6BE8E52}" uniqueName="3" name="Week_Start_Date" queryTableFieldId="11" dataDxfId="129"/>
    <tableColumn id="4" xr3:uid="{C2646F2D-B790-44E5-9310-6FD27A8393E9}" uniqueName="4" name="Platform" queryTableFieldId="12" dataDxfId="128"/>
    <tableColumn id="5" xr3:uid="{41FE247F-0F3F-4611-A22F-C5F2362AF32D}" uniqueName="5" name="New_Followers" queryTableFieldId="13"/>
    <tableColumn id="6" xr3:uid="{A12B58C6-F135-49FF-BE68-913DE58038B3}" uniqueName="6" name="Unfollows" queryTableFieldId="14"/>
    <tableColumn id="7" xr3:uid="{1197CDEE-B71A-41AC-BC60-19176FDE966A}" uniqueName="7" name="Total_Followers" queryTableFieldId="15"/>
    <tableColumn id="8" xr3:uid="{A224220B-E706-4A4D-BABA-399EF5AE5369}" uniqueName="8" name="Engagement_Rate" queryTableFieldId="16"/>
    <tableColumn id="9" xr3:uid="{12ADC1CF-EB53-4C51-A764-359D5D3643DF}" uniqueName="9" name="Ad_Spend" queryTableFieldId="17"/>
    <tableColumn id="10" xr3:uid="{0C25580D-0094-45FC-98EF-63E6105BED86}" uniqueName="10" name="Net_follower/Week" queryTableFieldId="18" dataDxfId="127"/>
    <tableColumn id="1" xr3:uid="{7ACB1479-E7E3-4EB1-B75E-F40AAD228914}" uniqueName="1" name="yyyy-mm" queryTableFieldId="9" dataDxfId="12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670775-181A-44DC-BAED-53AC4F4D311A}" name="TBL_Engagement_summary__2" displayName="TBL_Engagement_summary__2" ref="A1:J201" tableType="queryTable" totalsRowShown="0">
  <autoFilter ref="A1:J201" xr:uid="{C8670775-181A-44DC-BAED-53AC4F4D311A}"/>
  <tableColumns count="10">
    <tableColumn id="3" xr3:uid="{BAB43AE4-EAD0-4582-B0D5-B72000CCF7C6}" uniqueName="3" name="Week_Start_Date" queryTableFieldId="3" dataDxfId="125"/>
    <tableColumn id="4" xr3:uid="{B1FAAD72-DC46-4689-9B40-B5C209B86A08}" uniqueName="4" name="Platform" queryTableFieldId="4" dataDxfId="124"/>
    <tableColumn id="5" xr3:uid="{DE64BC8C-E55B-40C1-9E22-DA94C76386E6}" uniqueName="5" name="New_Followers" queryTableFieldId="5"/>
    <tableColumn id="6" xr3:uid="{9F3060C9-79E8-476B-BD73-EAD30C05C9C3}" uniqueName="6" name="Unfollows" queryTableFieldId="6"/>
    <tableColumn id="7" xr3:uid="{490C6AF5-D457-4377-8B77-AE5A0532F40F}" uniqueName="7" name="Total_Followers" queryTableFieldId="7"/>
    <tableColumn id="8" xr3:uid="{E958FBBF-FEDB-4A62-9015-58B553D6A020}" uniqueName="8" name="Engagement_Rate" queryTableFieldId="8"/>
    <tableColumn id="9" xr3:uid="{A41D504D-B3D1-4751-97F9-A714EF786E7C}" uniqueName="9" name="Ad_Spend" queryTableFieldId="9"/>
    <tableColumn id="10" xr3:uid="{61564FD3-134F-43A9-AA94-E7DBD5C34C94}" uniqueName="10" name="Net_follower/Week" queryTableFieldId="10" dataDxfId="123"/>
    <tableColumn id="1" xr3:uid="{D80BD54D-9405-48CB-94DD-A3BCE6694973}" uniqueName="1" name="yyyy-mm" queryTableFieldId="1" dataDxfId="122"/>
    <tableColumn id="12" xr3:uid="{B6073107-1FF3-4F76-8CC9-8D46966E7154}" uniqueName="12" name="yyyy-mm-dd" queryTableFieldId="20" dataDxfId="12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838DCA7-7F74-44D5-8C07-D1FE3411175B}" name="campaign_data_T6t4" displayName="campaign_data_T6t4" ref="A1:G9" tableType="queryTable" totalsRowShown="0">
  <autoFilter ref="A1:G9" xr:uid="{A838DCA7-7F74-44D5-8C07-D1FE3411175B}"/>
  <tableColumns count="7">
    <tableColumn id="1" xr3:uid="{572333FE-9E6F-40A9-8E91-68BCFC4DD5F0}" uniqueName="1" name="Campaign_Name" queryTableFieldId="1" dataDxfId="120"/>
    <tableColumn id="12" xr3:uid="{73B589E4-F497-44B6-9B54-040E19DF5024}" uniqueName="12" name="Start_Date" queryTableFieldId="12" dataDxfId="119"/>
    <tableColumn id="13" xr3:uid="{9BD918A5-DC6E-4669-B744-B8AF1B1DBB26}" uniqueName="13" name="End_Date" queryTableFieldId="13" dataDxfId="118"/>
    <tableColumn id="14" xr3:uid="{FCB7B415-3366-4CD2-BF91-9EBA3BEB98F1}" uniqueName="14" name="Target_Platforms" queryTableFieldId="14" dataDxfId="117"/>
    <tableColumn id="11" xr3:uid="{7CF53472-C0E1-457E-983A-43D45F36CDF5}" uniqueName="11" name="Ad_Spend_Actual" queryTableFieldId="11"/>
    <tableColumn id="10" xr3:uid="{A0A44451-D1F6-4BE1-A236-446525ED1871}" uniqueName="10" name="Net_Followers_Gained" queryTableFieldId="10"/>
    <tableColumn id="15" xr3:uid="{F80FEEC7-B6F7-4DD5-862A-3CEA95F8A3F5}" uniqueName="15" name="Cost_per_Follower" queryTableFieldId="15" dataDxfId="11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5C577AC-3F83-4EB1-9D9E-40F0C427A86D}" name="TBL_Campaign_Data_1" displayName="TBL_Campaign_Data_1" ref="A1:F5" tableType="queryTable" totalsRowShown="0">
  <autoFilter ref="A1:F5" xr:uid="{65C577AC-3F83-4EB1-9D9E-40F0C427A86D}"/>
  <tableColumns count="6">
    <tableColumn id="1" xr3:uid="{B7597D83-0AC9-46C4-84F6-A35F14AD9FD8}" uniqueName="1" name="Campaign_Name" queryTableFieldId="1" dataDxfId="115"/>
    <tableColumn id="2" xr3:uid="{75E9F853-D5E5-4E58-AA76-5AD7BCCB3793}" uniqueName="2" name="Start_Date" queryTableFieldId="2" dataDxfId="114"/>
    <tableColumn id="3" xr3:uid="{25657497-0C0D-4116-9C85-B265C9EE3D11}" uniqueName="3" name="End_Date" queryTableFieldId="3" dataDxfId="113"/>
    <tableColumn id="4" xr3:uid="{243B87C6-4C85-405A-84E5-00339F5B2626}" uniqueName="4" name="Objective" queryTableFieldId="4" dataDxfId="112"/>
    <tableColumn id="5" xr3:uid="{0E385E22-ACB4-400F-96B5-E6FE85D5EB66}" uniqueName="5" name="Total_Budget" queryTableFieldId="5"/>
    <tableColumn id="6" xr3:uid="{14495A09-B000-432F-97C4-B932FAC78AAB}" uniqueName="6" name="Target_Platforms" queryTableFieldId="6" dataDxfId="11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10B30C-7AD0-43EB-904C-0093B43FF100}" name="TBL_Campaign_Data__2" displayName="TBL_Campaign_Data__2" ref="A1:C9" totalsRowShown="0">
  <autoFilter ref="A1:C9" xr:uid="{CF10B30C-7AD0-43EB-904C-0093B43FF100}"/>
  <tableColumns count="3">
    <tableColumn id="1" xr3:uid="{C310E06F-821B-4AEF-BB22-9E84CAC0FF89}" name="Campaign_Name" dataDxfId="110"/>
    <tableColumn id="6" xr3:uid="{4B207E83-12BB-472C-BB1D-7A5587F88651}" name="Target_Platforms" dataDxfId="109"/>
    <tableColumn id="7" xr3:uid="{45B7C3D1-D150-4BC5-B746-773459BE9485}" name="Net_Followers"/>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DA263EE-39A6-4780-814F-A46007EDDB7E}" name="Table9" displayName="Table9" ref="F41:J45" totalsRowShown="0" headerRowDxfId="92">
  <autoFilter ref="F41:J45" xr:uid="{9DA263EE-39A6-4780-814F-A46007EDDB7E}"/>
  <tableColumns count="5">
    <tableColumn id="1" xr3:uid="{DE4C3835-2E58-4B43-AB83-0C53C2124510}" name="Platform" dataDxfId="91">
      <calculatedColumnFormula>_xlfn.MINIFS(#REF!,#REF!, "Facebook")</calculatedColumnFormula>
    </tableColumn>
    <tableColumn id="4" xr3:uid="{FD6BC9AB-DCCA-4D4C-BC27-66F930726099}" name="NetChanges" dataDxfId="90">
      <calculatedColumnFormula>SUMIFS(TBL_Engagement_summary_1[Net_follower/Week],TBL_Engagement_summary_1[Platform],Table9[[#This Row],[Platform]])</calculatedColumnFormula>
    </tableColumn>
    <tableColumn id="10" xr3:uid="{BFDBBF94-D7C8-4F66-AFBB-E70BC73E20EB}" name="StartFollowers" dataDxfId="89"/>
    <tableColumn id="5" xr3:uid="{E1AE0F1E-3B1C-4F34-B80E-67A320685BB5}" name="EndEstimate" dataDxfId="88">
      <calculatedColumnFormula>Table9[[#This Row],[NetChanges]]+Table9[[#This Row],[StartFollowers]]</calculatedColumnFormula>
    </tableColumn>
    <tableColumn id="6" xr3:uid="{D87B7272-6F4B-4EFE-BE7F-A6CFB41800AC}" name="GrowthRate %" dataDxfId="87" dataCellStyle="Per cent">
      <calculatedColumnFormula>(Table9[[#This Row],[EndEstimate]]-Table9[[#This Row],[StartFollowers]])/Table9[[#This Row],[StartFollowers]]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drawing" Target="../drawings/drawing5.xml"/><Relationship Id="rId4"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6.xml"/><Relationship Id="rId4"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7.xml"/><Relationship Id="rId4" Type="http://schemas.openxmlformats.org/officeDocument/2006/relationships/pivotTable" Target="../pivotTables/pivotTable19.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loom.com/share/f432322c31114c77998abf51290b98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8AF4D-A65E-4B14-A48B-0D7B087E6E73}">
  <sheetPr codeName="Sheet1">
    <tabColor rgb="FFFF0000"/>
  </sheetPr>
  <dimension ref="A1:P47"/>
  <sheetViews>
    <sheetView tabSelected="1" zoomScale="85" zoomScaleNormal="85" zoomScaleSheetLayoutView="100" workbookViewId="0">
      <selection activeCell="B1" sqref="B1"/>
    </sheetView>
  </sheetViews>
  <sheetFormatPr defaultColWidth="18.6640625" defaultRowHeight="16.2" customHeight="1"/>
  <cols>
    <col min="1" max="1" width="10.6640625" style="93" customWidth="1"/>
    <col min="2" max="2" width="67" style="93" customWidth="1"/>
    <col min="3" max="3" width="4.21875" style="93" customWidth="1"/>
    <col min="4" max="16384" width="18.6640625" style="93"/>
  </cols>
  <sheetData>
    <row r="1" spans="1:16" ht="36" customHeight="1">
      <c r="A1" s="55"/>
      <c r="B1" s="95"/>
      <c r="C1" s="7"/>
      <c r="D1" s="7"/>
      <c r="E1" s="7"/>
      <c r="F1" s="7"/>
      <c r="G1" s="7"/>
      <c r="H1" s="7"/>
      <c r="I1" s="7"/>
      <c r="J1" s="7"/>
      <c r="K1" s="7"/>
      <c r="L1" s="7"/>
      <c r="M1" s="7"/>
      <c r="N1" s="7"/>
      <c r="O1" s="7"/>
    </row>
    <row r="2" spans="1:16" ht="18" customHeight="1">
      <c r="A2" s="55"/>
      <c r="B2" s="7"/>
      <c r="C2" s="7"/>
      <c r="D2" s="7"/>
      <c r="E2" s="7"/>
      <c r="F2" s="7"/>
      <c r="G2" s="7"/>
      <c r="H2" s="7"/>
      <c r="I2" s="7"/>
      <c r="J2" s="7"/>
      <c r="K2" s="7"/>
      <c r="L2" s="7"/>
      <c r="M2" s="7"/>
      <c r="N2" s="7"/>
      <c r="O2" s="7"/>
    </row>
    <row r="3" spans="1:16" s="94" customFormat="1" ht="16.2" customHeight="1">
      <c r="A3" s="55"/>
      <c r="B3" s="63"/>
      <c r="C3" s="55"/>
      <c r="D3" s="55"/>
      <c r="E3" s="55"/>
      <c r="F3" s="55"/>
      <c r="G3" s="55"/>
      <c r="H3" s="55"/>
      <c r="I3" s="55"/>
      <c r="J3" s="55"/>
      <c r="K3" s="7"/>
      <c r="L3" s="7"/>
      <c r="M3" s="7"/>
      <c r="N3" s="7"/>
      <c r="O3" s="7"/>
      <c r="P3" s="7"/>
    </row>
    <row r="4" spans="1:16" s="94" customFormat="1" ht="16.2" customHeight="1">
      <c r="A4" s="55"/>
      <c r="B4" s="55"/>
      <c r="C4" s="64"/>
      <c r="D4" s="55"/>
      <c r="E4" s="55"/>
      <c r="F4" s="55"/>
      <c r="G4" s="55"/>
      <c r="H4" s="55"/>
      <c r="I4" s="55"/>
      <c r="J4" s="55"/>
      <c r="K4" s="7"/>
      <c r="L4" s="7"/>
      <c r="M4" s="7"/>
      <c r="N4" s="7"/>
      <c r="O4" s="7"/>
      <c r="P4" s="7"/>
    </row>
    <row r="5" spans="1:16" s="94" customFormat="1" ht="16.2" customHeight="1">
      <c r="A5" s="55"/>
      <c r="B5" s="55"/>
      <c r="C5" s="64"/>
      <c r="D5" s="55"/>
      <c r="E5" s="55"/>
      <c r="F5" s="55"/>
      <c r="G5" s="55"/>
      <c r="H5" s="55"/>
      <c r="I5" s="55"/>
      <c r="J5" s="55"/>
      <c r="K5" s="7"/>
      <c r="L5" s="7"/>
      <c r="M5" s="7"/>
      <c r="N5" s="7"/>
      <c r="O5" s="7"/>
      <c r="P5" s="7"/>
    </row>
    <row r="6" spans="1:16" s="94" customFormat="1" ht="16.2" customHeight="1">
      <c r="A6" s="55"/>
      <c r="B6" s="55"/>
      <c r="C6" s="64"/>
      <c r="D6" s="55"/>
      <c r="E6" s="55"/>
      <c r="F6" s="55"/>
      <c r="G6" s="55"/>
      <c r="H6" s="55"/>
      <c r="I6" s="55"/>
      <c r="J6" s="55"/>
      <c r="K6" s="7"/>
      <c r="L6" s="7"/>
      <c r="M6" s="7"/>
      <c r="N6" s="7"/>
      <c r="O6" s="7"/>
      <c r="P6" s="7"/>
    </row>
    <row r="7" spans="1:16" s="94" customFormat="1" ht="16.2" customHeight="1">
      <c r="A7" s="55"/>
      <c r="B7" s="55"/>
      <c r="C7" s="55"/>
      <c r="D7" s="55"/>
      <c r="E7" s="55"/>
      <c r="F7" s="55"/>
      <c r="G7" s="55"/>
      <c r="H7" s="55"/>
      <c r="I7" s="55"/>
      <c r="J7" s="55"/>
      <c r="K7" s="7"/>
      <c r="L7" s="7"/>
      <c r="M7" s="7"/>
      <c r="N7" s="7"/>
      <c r="O7" s="7"/>
      <c r="P7" s="7"/>
    </row>
    <row r="8" spans="1:16" s="94" customFormat="1" ht="16.2" customHeight="1">
      <c r="A8" s="55"/>
      <c r="B8" s="65"/>
      <c r="C8" s="55"/>
      <c r="D8" s="55"/>
      <c r="E8" s="55"/>
      <c r="F8" s="55"/>
      <c r="G8" s="55"/>
      <c r="H8" s="55"/>
      <c r="I8" s="55"/>
      <c r="J8" s="55"/>
      <c r="K8" s="7"/>
      <c r="L8" s="7"/>
      <c r="M8" s="7"/>
      <c r="N8" s="7"/>
      <c r="O8" s="7"/>
      <c r="P8" s="7"/>
    </row>
    <row r="9" spans="1:16" s="94" customFormat="1" ht="16.2" customHeight="1">
      <c r="A9" s="55"/>
      <c r="B9" s="55"/>
      <c r="C9" s="64"/>
      <c r="D9" s="55"/>
      <c r="E9" s="55"/>
      <c r="F9" s="55"/>
      <c r="G9" s="55"/>
      <c r="H9" s="55"/>
      <c r="I9" s="55"/>
      <c r="J9" s="55"/>
      <c r="K9" s="7"/>
      <c r="L9" s="7"/>
      <c r="M9" s="7"/>
      <c r="N9" s="7"/>
      <c r="O9" s="7"/>
      <c r="P9" s="7"/>
    </row>
    <row r="10" spans="1:16" s="94" customFormat="1" ht="16.2" customHeight="1">
      <c r="A10" s="55"/>
      <c r="B10" s="55"/>
      <c r="C10" s="64"/>
      <c r="D10" s="55"/>
      <c r="E10" s="55"/>
      <c r="F10" s="55"/>
      <c r="G10" s="55"/>
      <c r="H10" s="55"/>
      <c r="I10" s="55"/>
      <c r="J10" s="55"/>
      <c r="K10" s="7"/>
      <c r="L10" s="7"/>
      <c r="M10" s="7"/>
      <c r="N10" s="7"/>
      <c r="O10" s="7"/>
      <c r="P10" s="7"/>
    </row>
    <row r="11" spans="1:16" s="94" customFormat="1" ht="16.2" customHeight="1">
      <c r="A11" s="55"/>
      <c r="B11" s="55"/>
      <c r="C11" s="64"/>
      <c r="D11" s="55"/>
      <c r="E11" s="55"/>
      <c r="F11" s="55"/>
      <c r="G11" s="55"/>
      <c r="H11" s="55"/>
      <c r="I11" s="55"/>
      <c r="J11" s="55"/>
      <c r="K11" s="7"/>
      <c r="L11" s="7"/>
      <c r="M11" s="7"/>
      <c r="N11" s="7"/>
      <c r="O11" s="7"/>
      <c r="P11" s="7"/>
    </row>
    <row r="12" spans="1:16" s="94" customFormat="1" ht="16.2" customHeight="1">
      <c r="A12" s="55"/>
      <c r="B12" s="55"/>
      <c r="C12" s="64"/>
      <c r="D12" s="55"/>
      <c r="E12" s="55"/>
      <c r="F12" s="55"/>
      <c r="G12" s="55"/>
      <c r="H12" s="55"/>
      <c r="I12" s="55"/>
      <c r="J12" s="55"/>
      <c r="K12" s="7"/>
      <c r="L12" s="7"/>
      <c r="M12" s="7"/>
      <c r="N12" s="7"/>
      <c r="O12" s="7"/>
      <c r="P12" s="7"/>
    </row>
    <row r="13" spans="1:16" s="94" customFormat="1" ht="16.2" customHeight="1">
      <c r="A13" s="55"/>
      <c r="B13" s="65"/>
      <c r="C13" s="64"/>
      <c r="D13" s="55"/>
      <c r="E13" s="55"/>
      <c r="F13" s="55"/>
      <c r="G13" s="55"/>
      <c r="H13" s="55"/>
      <c r="I13" s="55"/>
      <c r="J13" s="55"/>
      <c r="K13" s="7"/>
      <c r="L13" s="7"/>
      <c r="M13" s="7"/>
      <c r="N13" s="7"/>
      <c r="O13" s="7"/>
      <c r="P13" s="7"/>
    </row>
    <row r="14" spans="1:16" s="94" customFormat="1" ht="16.2" customHeight="1">
      <c r="A14" s="55"/>
      <c r="B14" s="65"/>
      <c r="C14" s="64"/>
      <c r="D14" s="55"/>
      <c r="E14" s="55"/>
      <c r="F14" s="55"/>
      <c r="G14" s="55"/>
      <c r="H14" s="55"/>
      <c r="I14" s="55"/>
      <c r="J14" s="55"/>
      <c r="K14" s="7"/>
      <c r="L14" s="7"/>
      <c r="M14" s="7"/>
      <c r="N14" s="7"/>
      <c r="O14" s="7"/>
      <c r="P14" s="7"/>
    </row>
    <row r="15" spans="1:16" s="94" customFormat="1" ht="16.2" customHeight="1">
      <c r="A15" s="55"/>
      <c r="B15" s="65"/>
      <c r="C15" s="64"/>
      <c r="D15" s="55"/>
      <c r="E15" s="55"/>
      <c r="F15" s="55"/>
      <c r="G15" s="55"/>
      <c r="H15" s="55"/>
      <c r="I15" s="55"/>
      <c r="J15" s="55"/>
      <c r="K15" s="7"/>
      <c r="L15" s="7"/>
      <c r="M15" s="7"/>
      <c r="N15" s="7"/>
      <c r="O15" s="7"/>
      <c r="P15" s="7"/>
    </row>
    <row r="16" spans="1:16" s="94" customFormat="1" ht="16.2" customHeight="1">
      <c r="A16" s="55"/>
      <c r="B16" s="55"/>
      <c r="C16" s="55"/>
      <c r="D16" s="55"/>
      <c r="E16" s="55"/>
      <c r="F16" s="55"/>
      <c r="G16" s="55"/>
      <c r="H16" s="55"/>
      <c r="I16" s="55"/>
      <c r="J16" s="55"/>
      <c r="K16" s="7"/>
      <c r="L16" s="7"/>
      <c r="M16" s="7"/>
      <c r="N16" s="7"/>
      <c r="O16" s="7"/>
      <c r="P16" s="7"/>
    </row>
    <row r="17" spans="1:16" s="94" customFormat="1" ht="16.2" customHeight="1">
      <c r="A17" s="55"/>
      <c r="B17" s="55"/>
      <c r="C17" s="55"/>
      <c r="D17" s="55"/>
      <c r="E17" s="55"/>
      <c r="F17" s="55"/>
      <c r="G17" s="55"/>
      <c r="H17" s="55"/>
      <c r="I17" s="55"/>
      <c r="J17" s="55"/>
      <c r="K17" s="7"/>
      <c r="L17" s="7"/>
      <c r="M17" s="7"/>
      <c r="N17" s="7"/>
      <c r="O17" s="7"/>
      <c r="P17" s="7"/>
    </row>
    <row r="18" spans="1:16" s="94" customFormat="1" ht="16.2" customHeight="1">
      <c r="A18" s="55"/>
      <c r="B18" s="55"/>
      <c r="C18" s="55"/>
      <c r="D18" s="55"/>
      <c r="E18" s="55"/>
      <c r="F18" s="55"/>
      <c r="G18" s="55"/>
      <c r="H18" s="55"/>
      <c r="I18" s="55"/>
      <c r="J18" s="55"/>
      <c r="K18" s="7"/>
      <c r="L18" s="7"/>
      <c r="M18" s="7"/>
      <c r="N18" s="7"/>
      <c r="O18" s="7"/>
      <c r="P18" s="7"/>
    </row>
    <row r="19" spans="1:16" s="94" customFormat="1" ht="16.2" customHeight="1">
      <c r="A19" s="55"/>
      <c r="B19" s="55"/>
      <c r="C19" s="55"/>
      <c r="D19" s="55"/>
      <c r="E19" s="55"/>
      <c r="F19" s="55"/>
      <c r="G19" s="55"/>
      <c r="H19" s="55"/>
      <c r="I19" s="55"/>
      <c r="J19" s="55"/>
      <c r="K19" s="7"/>
      <c r="L19" s="7"/>
      <c r="M19" s="7"/>
      <c r="N19" s="7"/>
      <c r="O19" s="7"/>
      <c r="P19" s="7"/>
    </row>
    <row r="20" spans="1:16" s="94" customFormat="1" ht="16.2" customHeight="1">
      <c r="A20" s="55"/>
      <c r="B20" s="55"/>
      <c r="C20" s="55"/>
      <c r="D20" s="55"/>
      <c r="E20" s="55"/>
      <c r="F20" s="55"/>
      <c r="G20" s="55"/>
      <c r="H20" s="55"/>
      <c r="I20" s="55"/>
      <c r="J20" s="55"/>
      <c r="K20" s="7"/>
      <c r="L20" s="7"/>
      <c r="M20" s="7"/>
      <c r="N20" s="7"/>
      <c r="O20" s="7"/>
      <c r="P20" s="7"/>
    </row>
    <row r="21" spans="1:16" s="94" customFormat="1" ht="16.2" customHeight="1">
      <c r="A21" s="55"/>
      <c r="B21" s="55"/>
      <c r="C21" s="55"/>
      <c r="D21" s="55"/>
      <c r="E21" s="55"/>
      <c r="F21" s="55"/>
      <c r="G21" s="55"/>
      <c r="H21" s="55"/>
      <c r="I21" s="55"/>
      <c r="J21" s="55"/>
      <c r="K21" s="7"/>
      <c r="L21" s="7"/>
      <c r="M21" s="7"/>
      <c r="N21" s="7"/>
      <c r="O21" s="7"/>
      <c r="P21" s="7"/>
    </row>
    <row r="22" spans="1:16" s="94" customFormat="1" ht="16.2" customHeight="1">
      <c r="A22" s="55"/>
      <c r="B22" s="55"/>
      <c r="C22" s="55"/>
      <c r="D22" s="55"/>
      <c r="E22" s="55"/>
      <c r="F22" s="55"/>
      <c r="G22" s="55"/>
      <c r="H22" s="55"/>
      <c r="I22" s="55"/>
      <c r="J22" s="55"/>
      <c r="K22" s="7"/>
      <c r="L22" s="7"/>
      <c r="M22" s="7"/>
      <c r="N22" s="7"/>
      <c r="O22" s="7"/>
      <c r="P22" s="7"/>
    </row>
    <row r="23" spans="1:16" s="94" customFormat="1" ht="16.2" customHeight="1">
      <c r="A23" s="55"/>
      <c r="B23" s="55"/>
      <c r="C23" s="55"/>
      <c r="D23" s="55"/>
      <c r="E23" s="55"/>
      <c r="F23" s="55"/>
      <c r="G23" s="55"/>
      <c r="H23" s="55"/>
      <c r="I23" s="55"/>
      <c r="J23" s="55"/>
      <c r="K23" s="7"/>
      <c r="L23" s="7"/>
      <c r="M23" s="7"/>
      <c r="N23" s="7"/>
      <c r="O23" s="7"/>
      <c r="P23" s="7"/>
    </row>
    <row r="24" spans="1:16" s="94" customFormat="1" ht="16.2" customHeight="1">
      <c r="A24" s="55"/>
      <c r="B24" s="55"/>
      <c r="C24" s="55"/>
      <c r="D24" s="55"/>
      <c r="E24" s="55"/>
      <c r="F24" s="55"/>
      <c r="G24" s="55"/>
      <c r="H24" s="55"/>
      <c r="I24" s="55"/>
      <c r="J24" s="55"/>
      <c r="K24" s="7"/>
      <c r="L24" s="7"/>
      <c r="M24" s="7"/>
      <c r="N24" s="7"/>
      <c r="O24" s="7"/>
      <c r="P24" s="7"/>
    </row>
    <row r="25" spans="1:16" s="94" customFormat="1" ht="16.2" customHeight="1">
      <c r="A25" s="55"/>
      <c r="B25" s="55"/>
      <c r="C25" s="55"/>
      <c r="D25" s="55"/>
      <c r="E25" s="55"/>
      <c r="F25" s="55"/>
      <c r="G25" s="55"/>
      <c r="H25" s="55"/>
      <c r="I25" s="55"/>
      <c r="J25" s="55"/>
      <c r="K25" s="7"/>
      <c r="L25" s="7"/>
      <c r="M25" s="7"/>
      <c r="N25" s="7"/>
      <c r="O25" s="7"/>
      <c r="P25" s="7"/>
    </row>
    <row r="26" spans="1:16" s="94" customFormat="1" ht="16.2" customHeight="1">
      <c r="A26" s="55"/>
      <c r="B26" s="55"/>
      <c r="C26" s="55"/>
      <c r="D26" s="55"/>
      <c r="E26" s="55"/>
      <c r="F26" s="55"/>
      <c r="G26" s="55"/>
      <c r="H26" s="55"/>
      <c r="I26" s="55"/>
      <c r="J26" s="55"/>
      <c r="K26" s="7"/>
      <c r="L26" s="7"/>
      <c r="M26" s="7"/>
      <c r="N26" s="7"/>
      <c r="O26" s="7"/>
      <c r="P26" s="7"/>
    </row>
    <row r="27" spans="1:16" s="94" customFormat="1" ht="16.2" customHeight="1">
      <c r="A27" s="55"/>
      <c r="B27" s="55"/>
      <c r="C27" s="55"/>
      <c r="D27" s="55"/>
      <c r="E27" s="55"/>
      <c r="F27" s="55"/>
      <c r="G27" s="55"/>
      <c r="H27" s="55"/>
      <c r="I27" s="55"/>
      <c r="J27" s="55"/>
      <c r="K27" s="7"/>
      <c r="L27" s="7"/>
      <c r="M27" s="7"/>
      <c r="N27" s="7"/>
      <c r="O27" s="7"/>
      <c r="P27" s="7"/>
    </row>
    <row r="28" spans="1:16" s="94" customFormat="1" ht="16.2" customHeight="1">
      <c r="A28" s="55"/>
      <c r="B28" s="55"/>
      <c r="C28" s="55"/>
      <c r="D28" s="55"/>
      <c r="E28" s="55"/>
      <c r="F28" s="55"/>
      <c r="G28" s="55"/>
      <c r="H28" s="55"/>
      <c r="I28" s="55"/>
      <c r="J28" s="55"/>
      <c r="K28" s="7"/>
      <c r="L28" s="7"/>
      <c r="M28" s="7"/>
      <c r="N28" s="7"/>
      <c r="O28" s="7"/>
      <c r="P28" s="7"/>
    </row>
    <row r="29" spans="1:16" s="94" customFormat="1" ht="16.2" customHeight="1">
      <c r="A29" s="55"/>
      <c r="B29" s="55"/>
      <c r="C29" s="55"/>
      <c r="D29" s="55"/>
      <c r="E29" s="55"/>
      <c r="F29" s="55"/>
      <c r="G29" s="55"/>
      <c r="H29" s="55"/>
      <c r="I29" s="55"/>
      <c r="J29" s="55"/>
      <c r="K29" s="7"/>
      <c r="L29" s="7"/>
      <c r="M29" s="7"/>
      <c r="N29" s="7"/>
      <c r="O29" s="7"/>
      <c r="P29" s="7"/>
    </row>
    <row r="30" spans="1:16" s="94" customFormat="1" ht="16.2" customHeight="1">
      <c r="A30" s="55"/>
      <c r="B30" s="55"/>
      <c r="C30" s="55"/>
      <c r="D30" s="55"/>
      <c r="E30" s="55"/>
      <c r="F30" s="55"/>
      <c r="G30" s="55"/>
      <c r="H30" s="55"/>
      <c r="I30" s="55"/>
      <c r="J30" s="55"/>
      <c r="K30" s="7"/>
      <c r="L30" s="7"/>
      <c r="M30" s="7"/>
      <c r="N30" s="7"/>
      <c r="O30" s="7"/>
      <c r="P30" s="7"/>
    </row>
    <row r="31" spans="1:16" s="94" customFormat="1" ht="16.2" customHeight="1">
      <c r="A31" s="55"/>
      <c r="B31" s="55"/>
      <c r="C31" s="55"/>
      <c r="D31" s="55"/>
      <c r="E31" s="55"/>
      <c r="F31" s="55"/>
      <c r="G31" s="55"/>
      <c r="H31" s="55"/>
      <c r="I31" s="55"/>
      <c r="J31" s="55"/>
      <c r="K31" s="7"/>
      <c r="L31" s="7"/>
      <c r="M31" s="7"/>
      <c r="N31" s="7"/>
      <c r="O31" s="7"/>
      <c r="P31" s="7"/>
    </row>
    <row r="32" spans="1:16" s="94" customFormat="1" ht="16.2" customHeight="1">
      <c r="A32" s="55"/>
      <c r="B32" s="55"/>
      <c r="C32" s="55"/>
      <c r="D32" s="55"/>
      <c r="E32" s="55"/>
      <c r="F32" s="55"/>
      <c r="G32" s="55"/>
      <c r="H32" s="55"/>
      <c r="I32" s="55"/>
      <c r="J32" s="55"/>
      <c r="K32" s="7"/>
      <c r="L32" s="7"/>
      <c r="M32" s="7"/>
      <c r="N32" s="7"/>
      <c r="O32" s="7"/>
      <c r="P32" s="7"/>
    </row>
    <row r="33" spans="1:16" s="94" customFormat="1" ht="16.2" customHeight="1">
      <c r="A33" s="55"/>
      <c r="B33" s="55"/>
      <c r="C33" s="55"/>
      <c r="D33" s="55"/>
      <c r="E33" s="55"/>
      <c r="F33" s="55"/>
      <c r="G33" s="55"/>
      <c r="H33" s="55"/>
      <c r="I33" s="55"/>
      <c r="J33" s="55"/>
      <c r="K33" s="7"/>
      <c r="L33" s="7"/>
      <c r="M33" s="7"/>
      <c r="N33" s="7"/>
      <c r="O33" s="7"/>
      <c r="P33" s="7"/>
    </row>
    <row r="34" spans="1:16" s="94" customFormat="1" ht="16.2" customHeight="1">
      <c r="A34" s="55"/>
      <c r="B34" s="55"/>
      <c r="C34" s="55"/>
      <c r="D34" s="55"/>
      <c r="E34" s="55"/>
      <c r="F34" s="55"/>
      <c r="G34" s="55"/>
      <c r="H34" s="55"/>
      <c r="I34" s="55"/>
      <c r="J34" s="55"/>
      <c r="K34" s="7"/>
      <c r="L34" s="7"/>
      <c r="M34" s="7"/>
      <c r="N34" s="7"/>
      <c r="O34" s="7"/>
      <c r="P34" s="7"/>
    </row>
    <row r="35" spans="1:16" s="94" customFormat="1" ht="16.2" customHeight="1">
      <c r="A35" s="55"/>
      <c r="B35" s="55"/>
      <c r="C35" s="55"/>
      <c r="D35" s="55"/>
      <c r="E35" s="55"/>
      <c r="F35" s="55"/>
      <c r="G35" s="55"/>
      <c r="H35" s="55"/>
      <c r="I35" s="55"/>
      <c r="J35" s="55"/>
      <c r="K35" s="7"/>
      <c r="L35" s="7"/>
      <c r="M35" s="7"/>
      <c r="N35" s="7"/>
      <c r="O35" s="7"/>
      <c r="P35" s="7"/>
    </row>
    <row r="36" spans="1:16" s="94" customFormat="1" ht="16.2" customHeight="1">
      <c r="A36" s="55"/>
      <c r="B36" s="55"/>
      <c r="C36" s="55"/>
      <c r="D36" s="55"/>
      <c r="E36" s="55"/>
      <c r="F36" s="55"/>
      <c r="G36" s="55"/>
      <c r="H36" s="55"/>
      <c r="I36" s="55"/>
      <c r="J36" s="55"/>
      <c r="K36" s="7"/>
      <c r="L36" s="7"/>
      <c r="M36" s="7"/>
      <c r="N36" s="7"/>
      <c r="O36" s="7"/>
      <c r="P36" s="7"/>
    </row>
    <row r="37" spans="1:16" s="94" customFormat="1" ht="16.2" customHeight="1">
      <c r="A37" s="55"/>
      <c r="B37" s="55"/>
      <c r="C37" s="55"/>
      <c r="D37" s="55"/>
      <c r="E37" s="55"/>
      <c r="F37" s="55"/>
      <c r="G37" s="55"/>
      <c r="H37" s="55"/>
      <c r="I37" s="55"/>
      <c r="J37" s="55"/>
      <c r="K37" s="7"/>
      <c r="L37" s="7"/>
      <c r="M37" s="7"/>
      <c r="N37" s="7"/>
      <c r="O37" s="7"/>
      <c r="P37" s="7"/>
    </row>
    <row r="38" spans="1:16" s="94" customFormat="1" ht="16.2" customHeight="1">
      <c r="A38" s="55"/>
      <c r="B38" s="55"/>
      <c r="C38" s="55"/>
      <c r="D38" s="55"/>
      <c r="E38" s="55"/>
      <c r="F38" s="55"/>
      <c r="G38" s="55"/>
      <c r="H38" s="55"/>
      <c r="I38" s="55"/>
      <c r="J38" s="55"/>
      <c r="K38" s="7"/>
      <c r="L38" s="7"/>
      <c r="M38" s="7"/>
      <c r="N38" s="7"/>
      <c r="O38" s="7"/>
      <c r="P38" s="7"/>
    </row>
    <row r="39" spans="1:16" s="94" customFormat="1" ht="16.2" customHeight="1">
      <c r="A39" s="55"/>
      <c r="B39" s="55"/>
      <c r="C39" s="55"/>
      <c r="D39" s="55"/>
      <c r="E39" s="55"/>
      <c r="F39" s="55"/>
      <c r="G39" s="55"/>
      <c r="H39" s="55"/>
      <c r="I39" s="55"/>
      <c r="J39" s="55"/>
      <c r="K39" s="7"/>
      <c r="L39" s="7"/>
      <c r="M39" s="7"/>
      <c r="N39" s="7"/>
      <c r="O39" s="7"/>
      <c r="P39" s="7"/>
    </row>
    <row r="40" spans="1:16" s="94" customFormat="1" ht="16.2" customHeight="1">
      <c r="A40" s="55"/>
      <c r="B40" s="55"/>
      <c r="C40" s="55"/>
      <c r="D40" s="55"/>
      <c r="E40" s="55"/>
      <c r="F40" s="55"/>
      <c r="G40" s="55"/>
      <c r="H40" s="55"/>
      <c r="I40" s="55"/>
      <c r="J40" s="55"/>
      <c r="K40" s="7"/>
      <c r="L40" s="7"/>
      <c r="M40" s="7"/>
      <c r="N40" s="7"/>
      <c r="O40" s="7"/>
      <c r="P40" s="7"/>
    </row>
    <row r="41" spans="1:16" s="94" customFormat="1" ht="16.2" customHeight="1">
      <c r="A41" s="55"/>
      <c r="B41" s="55"/>
      <c r="C41" s="55"/>
      <c r="D41" s="55"/>
      <c r="E41" s="55"/>
      <c r="F41" s="55"/>
      <c r="G41" s="55"/>
      <c r="H41" s="55"/>
      <c r="I41" s="55"/>
      <c r="J41" s="55"/>
      <c r="K41" s="7"/>
      <c r="L41" s="7"/>
      <c r="M41" s="7"/>
      <c r="N41" s="7"/>
      <c r="O41" s="7"/>
      <c r="P41" s="7"/>
    </row>
    <row r="42" spans="1:16" s="94" customFormat="1" ht="16.2" customHeight="1">
      <c r="A42" s="55"/>
      <c r="B42" s="55"/>
      <c r="C42" s="55"/>
      <c r="D42" s="55"/>
      <c r="E42" s="55"/>
      <c r="F42" s="55"/>
      <c r="G42" s="55"/>
      <c r="H42" s="55"/>
      <c r="I42" s="55"/>
      <c r="J42" s="55"/>
      <c r="K42" s="7"/>
      <c r="L42" s="7"/>
      <c r="M42" s="7"/>
      <c r="N42" s="7"/>
      <c r="O42" s="7"/>
      <c r="P42" s="7"/>
    </row>
    <row r="43" spans="1:16" s="94" customFormat="1" ht="16.2" customHeight="1">
      <c r="A43" s="55"/>
      <c r="B43" s="55"/>
      <c r="C43" s="55"/>
      <c r="D43" s="55"/>
      <c r="E43" s="55"/>
      <c r="F43" s="55"/>
      <c r="G43" s="55"/>
      <c r="H43" s="55"/>
      <c r="I43" s="55"/>
      <c r="J43" s="55"/>
      <c r="K43" s="7"/>
      <c r="L43" s="7"/>
      <c r="M43" s="7"/>
      <c r="N43" s="7"/>
      <c r="O43" s="7"/>
      <c r="P43" s="7"/>
    </row>
    <row r="44" spans="1:16" s="94" customFormat="1" ht="16.2" customHeight="1">
      <c r="A44" s="55"/>
      <c r="B44" s="55"/>
      <c r="C44" s="55"/>
      <c r="D44" s="55"/>
      <c r="E44" s="55"/>
      <c r="F44" s="55"/>
      <c r="G44" s="55"/>
      <c r="H44" s="55"/>
      <c r="I44" s="55"/>
      <c r="J44" s="55"/>
      <c r="K44" s="7"/>
      <c r="L44" s="7"/>
      <c r="M44" s="7"/>
      <c r="N44" s="7"/>
      <c r="O44" s="7"/>
      <c r="P44" s="7"/>
    </row>
    <row r="45" spans="1:16" s="94" customFormat="1" ht="16.2" customHeight="1">
      <c r="A45" s="55"/>
      <c r="B45" s="55"/>
      <c r="C45" s="55"/>
      <c r="D45" s="55"/>
      <c r="E45" s="55"/>
      <c r="F45" s="55"/>
      <c r="G45" s="55"/>
      <c r="H45" s="55"/>
      <c r="I45" s="55"/>
      <c r="J45" s="55"/>
      <c r="K45" s="7"/>
      <c r="L45" s="7"/>
      <c r="M45" s="7"/>
      <c r="N45" s="7"/>
      <c r="O45" s="7"/>
      <c r="P45" s="7"/>
    </row>
    <row r="46" spans="1:16" s="94" customFormat="1" ht="16.2" customHeight="1">
      <c r="A46" s="55"/>
      <c r="B46" s="55"/>
      <c r="C46" s="55"/>
      <c r="D46" s="55"/>
      <c r="E46" s="55"/>
      <c r="F46" s="55"/>
      <c r="G46" s="55"/>
      <c r="H46" s="55"/>
      <c r="I46" s="55"/>
      <c r="J46" s="55"/>
      <c r="K46" s="7"/>
      <c r="L46" s="7"/>
      <c r="M46" s="7"/>
      <c r="N46" s="7"/>
      <c r="O46" s="7"/>
      <c r="P46" s="7"/>
    </row>
    <row r="47" spans="1:16" s="94" customFormat="1" ht="16.2" customHeight="1">
      <c r="A47" s="55"/>
      <c r="B47" s="55"/>
      <c r="C47" s="55"/>
      <c r="D47" s="55"/>
      <c r="E47" s="55"/>
      <c r="F47" s="55"/>
      <c r="G47" s="55"/>
      <c r="H47" s="55"/>
      <c r="I47" s="55"/>
      <c r="J47" s="55"/>
      <c r="K47" s="7"/>
      <c r="L47" s="7"/>
      <c r="M47" s="7"/>
      <c r="N47" s="7"/>
      <c r="O47" s="7"/>
      <c r="P47" s="7"/>
    </row>
  </sheetData>
  <pageMargins left="0.7" right="0.7" top="0.75" bottom="0.75" header="0.3" footer="0.3"/>
  <pageSetup scale="7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M1000"/>
  <sheetViews>
    <sheetView zoomScaleNormal="100" zoomScaleSheetLayoutView="70" workbookViewId="0">
      <pane xSplit="3" ySplit="1" topLeftCell="E2" activePane="bottomRight" state="frozen"/>
      <selection activeCell="B29" sqref="B29"/>
      <selection pane="topRight" activeCell="B29" sqref="B29"/>
      <selection pane="bottomLeft" activeCell="B29" sqref="B29"/>
      <selection pane="bottomRight" activeCell="B29" sqref="B29"/>
    </sheetView>
  </sheetViews>
  <sheetFormatPr defaultColWidth="14.44140625" defaultRowHeight="15" customHeight="1"/>
  <cols>
    <col min="1" max="1" width="8.77734375" customWidth="1"/>
    <col min="2" max="2" width="10.88671875" customWidth="1"/>
    <col min="3" max="3" width="13" customWidth="1"/>
    <col min="4" max="4" width="14.21875" customWidth="1"/>
    <col min="5" max="5" width="49.6640625" bestFit="1" customWidth="1"/>
    <col min="6" max="6" width="7.21875" customWidth="1"/>
    <col min="7" max="7" width="8.44140625" customWidth="1"/>
    <col min="8" max="8" width="12" customWidth="1"/>
    <col min="9" max="9" width="12.88671875" customWidth="1"/>
    <col min="10" max="10" width="8" customWidth="1"/>
    <col min="11" max="11" width="7.5546875" customWidth="1"/>
    <col min="12" max="12" width="29.77734375" bestFit="1" customWidth="1"/>
    <col min="13" max="13" width="20" bestFit="1" customWidth="1"/>
    <col min="14" max="26" width="8.6640625" customWidth="1"/>
  </cols>
  <sheetData>
    <row r="1" spans="1:13" s="6" customFormat="1" ht="27.6" customHeight="1">
      <c r="A1" s="8" t="s">
        <v>0</v>
      </c>
      <c r="B1" s="8" t="s">
        <v>1</v>
      </c>
      <c r="C1" s="8" t="s">
        <v>2</v>
      </c>
      <c r="D1" s="8" t="s">
        <v>3</v>
      </c>
      <c r="E1" s="8" t="s">
        <v>4</v>
      </c>
      <c r="F1" s="8" t="s">
        <v>5</v>
      </c>
      <c r="G1" s="8" t="s">
        <v>6</v>
      </c>
      <c r="H1" s="8" t="s">
        <v>7</v>
      </c>
      <c r="I1" s="8" t="s">
        <v>8</v>
      </c>
      <c r="J1" s="8" t="s">
        <v>9</v>
      </c>
      <c r="K1" s="8" t="s">
        <v>10</v>
      </c>
      <c r="L1" s="8" t="s">
        <v>11</v>
      </c>
      <c r="M1" s="8" t="s">
        <v>12</v>
      </c>
    </row>
    <row r="2" spans="1:13" ht="14.25" customHeight="1">
      <c r="A2" s="1" t="s">
        <v>13</v>
      </c>
      <c r="B2" s="1" t="s">
        <v>14</v>
      </c>
      <c r="C2" s="1" t="s">
        <v>15</v>
      </c>
      <c r="D2" s="1" t="s">
        <v>16</v>
      </c>
      <c r="E2" s="1" t="s">
        <v>17</v>
      </c>
      <c r="F2" s="1">
        <v>1461</v>
      </c>
      <c r="G2" s="1">
        <v>184</v>
      </c>
      <c r="H2" s="1">
        <v>344</v>
      </c>
      <c r="I2" s="1">
        <v>21915</v>
      </c>
      <c r="J2" s="1">
        <v>21675</v>
      </c>
      <c r="K2" s="1">
        <v>15</v>
      </c>
      <c r="L2" s="1" t="s">
        <v>18</v>
      </c>
      <c r="M2" s="1" t="s">
        <v>19</v>
      </c>
    </row>
    <row r="3" spans="1:13" ht="14.25" customHeight="1">
      <c r="A3" s="1" t="s">
        <v>20</v>
      </c>
      <c r="B3" s="1" t="s">
        <v>14</v>
      </c>
      <c r="C3" s="1" t="s">
        <v>21</v>
      </c>
      <c r="D3" s="1" t="s">
        <v>22</v>
      </c>
      <c r="E3" s="1" t="s">
        <v>23</v>
      </c>
      <c r="F3" s="1">
        <v>4054</v>
      </c>
      <c r="G3" s="1">
        <v>389</v>
      </c>
      <c r="H3" s="1">
        <v>493</v>
      </c>
      <c r="I3" s="1">
        <v>64864</v>
      </c>
      <c r="J3" s="1">
        <v>64383</v>
      </c>
      <c r="K3" s="1">
        <v>117</v>
      </c>
      <c r="L3" s="1" t="s">
        <v>24</v>
      </c>
      <c r="M3" s="1" t="s">
        <v>25</v>
      </c>
    </row>
    <row r="4" spans="1:13" ht="14.25" customHeight="1">
      <c r="A4" s="1" t="s">
        <v>26</v>
      </c>
      <c r="B4" s="1" t="s">
        <v>27</v>
      </c>
      <c r="C4" s="1" t="s">
        <v>28</v>
      </c>
      <c r="D4" s="1" t="s">
        <v>16</v>
      </c>
      <c r="E4" s="1" t="s">
        <v>17</v>
      </c>
      <c r="F4" s="1">
        <v>2795</v>
      </c>
      <c r="G4" s="1">
        <v>105</v>
      </c>
      <c r="H4" s="1">
        <v>49</v>
      </c>
      <c r="I4" s="1">
        <v>53105</v>
      </c>
      <c r="J4" s="1">
        <v>52307</v>
      </c>
      <c r="K4" s="1">
        <v>204</v>
      </c>
      <c r="L4" s="1" t="s">
        <v>29</v>
      </c>
      <c r="M4" s="1" t="s">
        <v>19</v>
      </c>
    </row>
    <row r="5" spans="1:13" ht="14.25" customHeight="1">
      <c r="A5" s="1" t="s">
        <v>30</v>
      </c>
      <c r="B5" s="1" t="s">
        <v>31</v>
      </c>
      <c r="C5" s="1" t="s">
        <v>32</v>
      </c>
      <c r="D5" s="1" t="s">
        <v>33</v>
      </c>
      <c r="E5" s="1" t="s">
        <v>34</v>
      </c>
      <c r="F5" s="1">
        <v>2404</v>
      </c>
      <c r="G5" s="1">
        <v>363</v>
      </c>
      <c r="H5" s="1">
        <v>138</v>
      </c>
      <c r="I5" s="1">
        <v>19232</v>
      </c>
      <c r="J5" s="1">
        <v>18636</v>
      </c>
      <c r="K5" s="1">
        <v>128</v>
      </c>
      <c r="L5" s="1" t="s">
        <v>18</v>
      </c>
      <c r="M5" s="1" t="s">
        <v>19</v>
      </c>
    </row>
    <row r="6" spans="1:13" ht="14.25" customHeight="1">
      <c r="A6" s="1" t="s">
        <v>35</v>
      </c>
      <c r="B6" s="1" t="s">
        <v>27</v>
      </c>
      <c r="C6" s="1" t="s">
        <v>36</v>
      </c>
      <c r="D6" s="1" t="s">
        <v>16</v>
      </c>
      <c r="E6" s="1" t="s">
        <v>17</v>
      </c>
      <c r="F6" s="1">
        <v>3557</v>
      </c>
      <c r="G6" s="1">
        <v>687</v>
      </c>
      <c r="H6" s="1">
        <v>424</v>
      </c>
      <c r="I6" s="1">
        <v>71140</v>
      </c>
      <c r="J6" s="1">
        <v>70701</v>
      </c>
      <c r="K6" s="1">
        <v>224</v>
      </c>
      <c r="L6" s="1" t="s">
        <v>37</v>
      </c>
      <c r="M6" s="1" t="s">
        <v>38</v>
      </c>
    </row>
    <row r="7" spans="1:13" ht="14.25" customHeight="1">
      <c r="A7" s="1" t="s">
        <v>39</v>
      </c>
      <c r="B7" s="1" t="s">
        <v>40</v>
      </c>
      <c r="C7" s="1" t="s">
        <v>41</v>
      </c>
      <c r="D7" s="1" t="s">
        <v>42</v>
      </c>
      <c r="E7" s="1" t="s">
        <v>43</v>
      </c>
      <c r="F7" s="1">
        <v>2945</v>
      </c>
      <c r="G7" s="1">
        <v>930</v>
      </c>
      <c r="H7" s="1">
        <v>355</v>
      </c>
      <c r="I7" s="1">
        <v>23560</v>
      </c>
      <c r="J7" s="1">
        <v>23275</v>
      </c>
      <c r="K7" s="1">
        <v>256</v>
      </c>
      <c r="L7" s="1" t="s">
        <v>44</v>
      </c>
      <c r="M7" s="1" t="s">
        <v>25</v>
      </c>
    </row>
    <row r="8" spans="1:13" ht="14.25" customHeight="1">
      <c r="A8" s="1" t="s">
        <v>45</v>
      </c>
      <c r="B8" s="1" t="s">
        <v>14</v>
      </c>
      <c r="C8" s="1" t="s">
        <v>46</v>
      </c>
      <c r="D8" s="1" t="s">
        <v>42</v>
      </c>
      <c r="E8" s="1" t="s">
        <v>43</v>
      </c>
      <c r="F8" s="1">
        <v>3860</v>
      </c>
      <c r="G8" s="1">
        <v>201</v>
      </c>
      <c r="H8" s="1">
        <v>279</v>
      </c>
      <c r="I8" s="1">
        <v>61760</v>
      </c>
      <c r="J8" s="1">
        <v>61660</v>
      </c>
      <c r="K8" s="1">
        <v>235</v>
      </c>
      <c r="L8" s="1" t="s">
        <v>44</v>
      </c>
      <c r="M8" s="1" t="s">
        <v>38</v>
      </c>
    </row>
    <row r="9" spans="1:13" ht="14.25" customHeight="1">
      <c r="A9" s="1" t="s">
        <v>47</v>
      </c>
      <c r="B9" s="1" t="s">
        <v>27</v>
      </c>
      <c r="C9" s="1" t="s">
        <v>48</v>
      </c>
      <c r="D9" s="1" t="s">
        <v>49</v>
      </c>
      <c r="E9" s="1" t="s">
        <v>50</v>
      </c>
      <c r="F9" s="1">
        <v>3929</v>
      </c>
      <c r="G9" s="1">
        <v>262</v>
      </c>
      <c r="H9" s="1">
        <v>278</v>
      </c>
      <c r="I9" s="1">
        <v>43219</v>
      </c>
      <c r="J9" s="1">
        <v>42841</v>
      </c>
      <c r="K9" s="1">
        <v>39</v>
      </c>
      <c r="L9" s="1" t="s">
        <v>29</v>
      </c>
      <c r="M9" s="1" t="s">
        <v>38</v>
      </c>
    </row>
    <row r="10" spans="1:13" ht="14.25" customHeight="1">
      <c r="A10" s="1" t="s">
        <v>51</v>
      </c>
      <c r="B10" s="1" t="s">
        <v>40</v>
      </c>
      <c r="C10" s="1" t="s">
        <v>52</v>
      </c>
      <c r="D10" s="1" t="s">
        <v>22</v>
      </c>
      <c r="E10" s="1" t="s">
        <v>23</v>
      </c>
      <c r="F10" s="1">
        <v>3784</v>
      </c>
      <c r="G10" s="1">
        <v>808</v>
      </c>
      <c r="H10" s="1">
        <v>404</v>
      </c>
      <c r="I10" s="1">
        <v>56760</v>
      </c>
      <c r="J10" s="1">
        <v>56343</v>
      </c>
      <c r="K10" s="1">
        <v>131</v>
      </c>
      <c r="L10" s="1" t="s">
        <v>29</v>
      </c>
      <c r="M10" s="1" t="s">
        <v>38</v>
      </c>
    </row>
    <row r="11" spans="1:13" ht="14.25" customHeight="1">
      <c r="A11" s="1" t="s">
        <v>53</v>
      </c>
      <c r="B11" s="1" t="s">
        <v>40</v>
      </c>
      <c r="C11" s="1" t="s">
        <v>54</v>
      </c>
      <c r="D11" s="1" t="s">
        <v>49</v>
      </c>
      <c r="E11" s="1" t="s">
        <v>50</v>
      </c>
      <c r="F11" s="1">
        <v>4241</v>
      </c>
      <c r="G11" s="1">
        <v>902</v>
      </c>
      <c r="H11" s="1">
        <v>47</v>
      </c>
      <c r="I11" s="1">
        <v>72097</v>
      </c>
      <c r="J11" s="1">
        <v>71598</v>
      </c>
      <c r="K11" s="1">
        <v>167</v>
      </c>
      <c r="L11" s="1" t="s">
        <v>44</v>
      </c>
      <c r="M11" s="1" t="s">
        <v>55</v>
      </c>
    </row>
    <row r="12" spans="1:13" ht="14.25" customHeight="1">
      <c r="A12" s="1" t="s">
        <v>56</v>
      </c>
      <c r="B12" s="1" t="s">
        <v>31</v>
      </c>
      <c r="C12" s="1" t="s">
        <v>57</v>
      </c>
      <c r="D12" s="1" t="s">
        <v>33</v>
      </c>
      <c r="E12" s="1" t="s">
        <v>34</v>
      </c>
      <c r="F12" s="1">
        <v>1792</v>
      </c>
      <c r="G12" s="1">
        <v>614</v>
      </c>
      <c r="H12" s="1">
        <v>497</v>
      </c>
      <c r="I12" s="1">
        <v>25088</v>
      </c>
      <c r="J12" s="1">
        <v>24675</v>
      </c>
      <c r="K12" s="1">
        <v>65</v>
      </c>
      <c r="L12" s="1" t="s">
        <v>58</v>
      </c>
      <c r="M12" s="1" t="s">
        <v>19</v>
      </c>
    </row>
    <row r="13" spans="1:13" ht="14.25" customHeight="1">
      <c r="A13" s="1" t="s">
        <v>59</v>
      </c>
      <c r="B13" s="1" t="s">
        <v>40</v>
      </c>
      <c r="C13" s="1" t="s">
        <v>60</v>
      </c>
      <c r="D13" s="1" t="s">
        <v>16</v>
      </c>
      <c r="E13" s="1" t="s">
        <v>17</v>
      </c>
      <c r="F13" s="1">
        <v>1946</v>
      </c>
      <c r="G13" s="1">
        <v>686</v>
      </c>
      <c r="H13" s="1">
        <v>377</v>
      </c>
      <c r="I13" s="1">
        <v>23352</v>
      </c>
      <c r="J13" s="1">
        <v>22982</v>
      </c>
      <c r="K13" s="1">
        <v>213</v>
      </c>
      <c r="L13" s="1" t="s">
        <v>61</v>
      </c>
      <c r="M13" s="1" t="s">
        <v>38</v>
      </c>
    </row>
    <row r="14" spans="1:13" ht="14.25" customHeight="1">
      <c r="A14" s="1" t="s">
        <v>62</v>
      </c>
      <c r="B14" s="1" t="s">
        <v>27</v>
      </c>
      <c r="C14" s="1" t="s">
        <v>63</v>
      </c>
      <c r="D14" s="1" t="s">
        <v>42</v>
      </c>
      <c r="E14" s="1" t="s">
        <v>43</v>
      </c>
      <c r="F14" s="1">
        <v>1171</v>
      </c>
      <c r="G14" s="1">
        <v>286</v>
      </c>
      <c r="H14" s="1">
        <v>231</v>
      </c>
      <c r="I14" s="1">
        <v>22249</v>
      </c>
      <c r="J14" s="1">
        <v>21282</v>
      </c>
      <c r="K14" s="1">
        <v>114</v>
      </c>
      <c r="L14" s="1" t="s">
        <v>24</v>
      </c>
      <c r="M14" s="1" t="s">
        <v>55</v>
      </c>
    </row>
    <row r="15" spans="1:13" ht="14.25" customHeight="1">
      <c r="A15" s="1" t="s">
        <v>64</v>
      </c>
      <c r="B15" s="1" t="s">
        <v>40</v>
      </c>
      <c r="C15" s="1" t="s">
        <v>65</v>
      </c>
      <c r="D15" s="1" t="s">
        <v>33</v>
      </c>
      <c r="E15" s="1" t="s">
        <v>34</v>
      </c>
      <c r="F15" s="1">
        <v>4242</v>
      </c>
      <c r="G15" s="1">
        <v>555</v>
      </c>
      <c r="H15" s="1">
        <v>131</v>
      </c>
      <c r="I15" s="1">
        <v>33936</v>
      </c>
      <c r="J15" s="1">
        <v>33802</v>
      </c>
      <c r="K15" s="1">
        <v>265</v>
      </c>
      <c r="L15" s="1" t="s">
        <v>66</v>
      </c>
      <c r="M15" s="1" t="s">
        <v>38</v>
      </c>
    </row>
    <row r="16" spans="1:13" ht="14.25" customHeight="1">
      <c r="A16" s="1" t="s">
        <v>67</v>
      </c>
      <c r="B16" s="1" t="s">
        <v>40</v>
      </c>
      <c r="C16" s="1" t="s">
        <v>68</v>
      </c>
      <c r="D16" s="1" t="s">
        <v>69</v>
      </c>
      <c r="E16" s="1" t="s">
        <v>70</v>
      </c>
      <c r="F16" s="1">
        <v>3888</v>
      </c>
      <c r="G16" s="1">
        <v>604</v>
      </c>
      <c r="H16" s="1">
        <v>128</v>
      </c>
      <c r="I16" s="1">
        <v>77760</v>
      </c>
      <c r="J16" s="1">
        <v>77167</v>
      </c>
      <c r="K16" s="1">
        <v>20</v>
      </c>
      <c r="L16" s="1" t="s">
        <v>71</v>
      </c>
      <c r="M16" s="1" t="s">
        <v>19</v>
      </c>
    </row>
    <row r="17" spans="1:13" ht="14.25" customHeight="1">
      <c r="A17" s="1" t="s">
        <v>72</v>
      </c>
      <c r="B17" s="1" t="s">
        <v>40</v>
      </c>
      <c r="C17" s="1" t="s">
        <v>73</v>
      </c>
      <c r="D17" s="1" t="s">
        <v>22</v>
      </c>
      <c r="E17" s="1" t="s">
        <v>23</v>
      </c>
      <c r="F17" s="1">
        <v>3452</v>
      </c>
      <c r="G17" s="1">
        <v>377</v>
      </c>
      <c r="H17" s="1">
        <v>360</v>
      </c>
      <c r="I17" s="1">
        <v>55232</v>
      </c>
      <c r="J17" s="1">
        <v>55075</v>
      </c>
      <c r="K17" s="1">
        <v>87</v>
      </c>
      <c r="L17" s="1" t="s">
        <v>74</v>
      </c>
      <c r="M17" s="1" t="s">
        <v>38</v>
      </c>
    </row>
    <row r="18" spans="1:13" ht="14.25" customHeight="1">
      <c r="A18" s="1" t="s">
        <v>75</v>
      </c>
      <c r="B18" s="1" t="s">
        <v>40</v>
      </c>
      <c r="C18" s="1" t="s">
        <v>76</v>
      </c>
      <c r="D18" s="1" t="s">
        <v>22</v>
      </c>
      <c r="E18" s="1" t="s">
        <v>23</v>
      </c>
      <c r="F18" s="1">
        <v>4441</v>
      </c>
      <c r="G18" s="1">
        <v>511</v>
      </c>
      <c r="H18" s="1">
        <v>70</v>
      </c>
      <c r="I18" s="1">
        <v>53292</v>
      </c>
      <c r="J18" s="1">
        <v>53082</v>
      </c>
      <c r="K18" s="1">
        <v>159</v>
      </c>
      <c r="L18" s="1" t="s">
        <v>77</v>
      </c>
      <c r="M18" s="1" t="s">
        <v>38</v>
      </c>
    </row>
    <row r="19" spans="1:13" ht="14.25" customHeight="1">
      <c r="A19" s="1" t="s">
        <v>78</v>
      </c>
      <c r="B19" s="1" t="s">
        <v>31</v>
      </c>
      <c r="C19" s="1" t="s">
        <v>79</v>
      </c>
      <c r="D19" s="1" t="s">
        <v>16</v>
      </c>
      <c r="E19" s="1" t="s">
        <v>17</v>
      </c>
      <c r="F19" s="1">
        <v>3000</v>
      </c>
      <c r="G19" s="1">
        <v>382</v>
      </c>
      <c r="H19" s="1">
        <v>325</v>
      </c>
      <c r="I19" s="1">
        <v>36000</v>
      </c>
      <c r="J19" s="1">
        <v>35819</v>
      </c>
      <c r="K19" s="1">
        <v>19</v>
      </c>
      <c r="L19" s="1" t="s">
        <v>58</v>
      </c>
      <c r="M19" s="1" t="s">
        <v>25</v>
      </c>
    </row>
    <row r="20" spans="1:13" ht="14.25" customHeight="1">
      <c r="A20" s="1" t="s">
        <v>80</v>
      </c>
      <c r="B20" s="1" t="s">
        <v>31</v>
      </c>
      <c r="C20" s="1" t="s">
        <v>81</v>
      </c>
      <c r="D20" s="1" t="s">
        <v>69</v>
      </c>
      <c r="E20" s="1" t="s">
        <v>70</v>
      </c>
      <c r="F20" s="1">
        <v>1071</v>
      </c>
      <c r="G20" s="1">
        <v>519</v>
      </c>
      <c r="H20" s="1">
        <v>22</v>
      </c>
      <c r="I20" s="1">
        <v>16065</v>
      </c>
      <c r="J20" s="1">
        <v>15865</v>
      </c>
      <c r="K20" s="1">
        <v>103</v>
      </c>
      <c r="L20" s="1" t="s">
        <v>82</v>
      </c>
      <c r="M20" s="1" t="s">
        <v>38</v>
      </c>
    </row>
    <row r="21" spans="1:13" ht="14.25" customHeight="1">
      <c r="A21" s="1" t="s">
        <v>83</v>
      </c>
      <c r="B21" s="1" t="s">
        <v>31</v>
      </c>
      <c r="C21" s="1" t="s">
        <v>84</v>
      </c>
      <c r="D21" s="1" t="s">
        <v>42</v>
      </c>
      <c r="E21" s="1" t="s">
        <v>43</v>
      </c>
      <c r="F21" s="1">
        <v>4054</v>
      </c>
      <c r="G21" s="1">
        <v>488</v>
      </c>
      <c r="H21" s="1">
        <v>373</v>
      </c>
      <c r="I21" s="1">
        <v>77026</v>
      </c>
      <c r="J21" s="1">
        <v>76881</v>
      </c>
      <c r="K21" s="1">
        <v>25</v>
      </c>
      <c r="L21" s="1" t="s">
        <v>29</v>
      </c>
      <c r="M21" s="1" t="s">
        <v>38</v>
      </c>
    </row>
    <row r="22" spans="1:13" ht="14.25" customHeight="1">
      <c r="A22" s="1" t="s">
        <v>85</v>
      </c>
      <c r="B22" s="1" t="s">
        <v>31</v>
      </c>
      <c r="C22" s="1" t="s">
        <v>86</v>
      </c>
      <c r="D22" s="1" t="s">
        <v>16</v>
      </c>
      <c r="E22" s="1" t="s">
        <v>17</v>
      </c>
      <c r="F22" s="1">
        <v>4838</v>
      </c>
      <c r="G22" s="1">
        <v>640</v>
      </c>
      <c r="H22" s="1">
        <v>128</v>
      </c>
      <c r="I22" s="1">
        <v>72570</v>
      </c>
      <c r="J22" s="1">
        <v>72396</v>
      </c>
      <c r="K22" s="1">
        <v>83</v>
      </c>
      <c r="L22" s="1" t="s">
        <v>87</v>
      </c>
      <c r="M22" s="1" t="s">
        <v>38</v>
      </c>
    </row>
    <row r="23" spans="1:13" ht="14.25" customHeight="1">
      <c r="A23" s="1" t="s">
        <v>88</v>
      </c>
      <c r="B23" s="1" t="s">
        <v>40</v>
      </c>
      <c r="C23" s="1" t="s">
        <v>89</v>
      </c>
      <c r="D23" s="1" t="s">
        <v>22</v>
      </c>
      <c r="E23" s="1" t="s">
        <v>23</v>
      </c>
      <c r="F23" s="1">
        <v>1570</v>
      </c>
      <c r="G23" s="1">
        <v>187</v>
      </c>
      <c r="H23" s="1">
        <v>260</v>
      </c>
      <c r="I23" s="1">
        <v>25120</v>
      </c>
      <c r="J23" s="1">
        <v>24613</v>
      </c>
      <c r="K23" s="1">
        <v>133</v>
      </c>
      <c r="L23" s="1" t="s">
        <v>18</v>
      </c>
      <c r="M23" s="1" t="s">
        <v>55</v>
      </c>
    </row>
    <row r="24" spans="1:13" ht="14.25" customHeight="1">
      <c r="A24" s="1" t="s">
        <v>90</v>
      </c>
      <c r="B24" s="1" t="s">
        <v>40</v>
      </c>
      <c r="C24" s="1" t="s">
        <v>91</v>
      </c>
      <c r="D24" s="1" t="s">
        <v>69</v>
      </c>
      <c r="E24" s="1" t="s">
        <v>70</v>
      </c>
      <c r="F24" s="1">
        <v>1606</v>
      </c>
      <c r="G24" s="1">
        <v>547</v>
      </c>
      <c r="H24" s="1">
        <v>316</v>
      </c>
      <c r="I24" s="1">
        <v>32120</v>
      </c>
      <c r="J24" s="1">
        <v>31736</v>
      </c>
      <c r="K24" s="1">
        <v>225</v>
      </c>
      <c r="L24" s="1" t="s">
        <v>18</v>
      </c>
      <c r="M24" s="1" t="s">
        <v>38</v>
      </c>
    </row>
    <row r="25" spans="1:13" ht="14.25" customHeight="1">
      <c r="A25" s="1" t="s">
        <v>92</v>
      </c>
      <c r="B25" s="1" t="s">
        <v>40</v>
      </c>
      <c r="C25" s="1" t="s">
        <v>93</v>
      </c>
      <c r="D25" s="1" t="s">
        <v>69</v>
      </c>
      <c r="E25" s="1" t="s">
        <v>70</v>
      </c>
      <c r="F25" s="1">
        <v>3961</v>
      </c>
      <c r="G25" s="1">
        <v>761</v>
      </c>
      <c r="H25" s="1">
        <v>131</v>
      </c>
      <c r="I25" s="1">
        <v>67337</v>
      </c>
      <c r="J25" s="1">
        <v>66615</v>
      </c>
      <c r="K25" s="1">
        <v>161</v>
      </c>
      <c r="L25" s="1" t="s">
        <v>44</v>
      </c>
      <c r="M25" s="1" t="s">
        <v>25</v>
      </c>
    </row>
    <row r="26" spans="1:13" ht="14.25" customHeight="1">
      <c r="A26" s="1" t="s">
        <v>94</v>
      </c>
      <c r="B26" s="1" t="s">
        <v>14</v>
      </c>
      <c r="C26" s="1" t="s">
        <v>95</v>
      </c>
      <c r="D26" s="1" t="s">
        <v>42</v>
      </c>
      <c r="E26" s="1" t="s">
        <v>43</v>
      </c>
      <c r="F26" s="1">
        <v>3128</v>
      </c>
      <c r="G26" s="1">
        <v>211</v>
      </c>
      <c r="H26" s="1">
        <v>197</v>
      </c>
      <c r="I26" s="1">
        <v>59432</v>
      </c>
      <c r="J26" s="1">
        <v>59182</v>
      </c>
      <c r="K26" s="1">
        <v>238</v>
      </c>
      <c r="L26" s="1" t="s">
        <v>61</v>
      </c>
      <c r="M26" s="1" t="s">
        <v>19</v>
      </c>
    </row>
    <row r="27" spans="1:13" ht="14.25" customHeight="1">
      <c r="A27" s="1" t="s">
        <v>96</v>
      </c>
      <c r="B27" s="1" t="s">
        <v>27</v>
      </c>
      <c r="C27" s="1" t="s">
        <v>97</v>
      </c>
      <c r="D27" s="1" t="s">
        <v>16</v>
      </c>
      <c r="E27" s="1" t="s">
        <v>17</v>
      </c>
      <c r="F27" s="1">
        <v>3009</v>
      </c>
      <c r="G27" s="1">
        <v>413</v>
      </c>
      <c r="H27" s="1">
        <v>358</v>
      </c>
      <c r="I27" s="1">
        <v>42126</v>
      </c>
      <c r="J27" s="1">
        <v>41309</v>
      </c>
      <c r="K27" s="1">
        <v>211</v>
      </c>
      <c r="L27" s="1" t="s">
        <v>18</v>
      </c>
      <c r="M27" s="1" t="s">
        <v>25</v>
      </c>
    </row>
    <row r="28" spans="1:13" ht="14.25" customHeight="1">
      <c r="A28" s="1" t="s">
        <v>98</v>
      </c>
      <c r="B28" s="1" t="s">
        <v>27</v>
      </c>
      <c r="C28" s="1" t="s">
        <v>99</v>
      </c>
      <c r="D28" s="1" t="s">
        <v>22</v>
      </c>
      <c r="E28" s="1" t="s">
        <v>23</v>
      </c>
      <c r="F28" s="1">
        <v>2076</v>
      </c>
      <c r="G28" s="1">
        <v>195</v>
      </c>
      <c r="H28" s="1">
        <v>104</v>
      </c>
      <c r="I28" s="1">
        <v>33216</v>
      </c>
      <c r="J28" s="1">
        <v>32244</v>
      </c>
      <c r="K28" s="1">
        <v>51</v>
      </c>
      <c r="L28" s="1" t="s">
        <v>44</v>
      </c>
      <c r="M28" s="1" t="s">
        <v>55</v>
      </c>
    </row>
    <row r="29" spans="1:13" ht="14.25" customHeight="1">
      <c r="A29" s="1" t="s">
        <v>100</v>
      </c>
      <c r="B29" s="1" t="s">
        <v>31</v>
      </c>
      <c r="C29" s="1" t="s">
        <v>101</v>
      </c>
      <c r="D29" s="1" t="s">
        <v>69</v>
      </c>
      <c r="E29" s="1" t="s">
        <v>70</v>
      </c>
      <c r="F29" s="1">
        <v>432</v>
      </c>
      <c r="G29" s="1">
        <v>624</v>
      </c>
      <c r="H29" s="1">
        <v>123</v>
      </c>
      <c r="I29" s="1">
        <v>6912</v>
      </c>
      <c r="J29" s="1">
        <v>6259</v>
      </c>
      <c r="K29" s="1">
        <v>79</v>
      </c>
      <c r="L29" s="1" t="s">
        <v>102</v>
      </c>
      <c r="M29" s="1" t="s">
        <v>25</v>
      </c>
    </row>
    <row r="30" spans="1:13" ht="14.25" customHeight="1">
      <c r="A30" s="1" t="s">
        <v>103</v>
      </c>
      <c r="B30" s="1" t="s">
        <v>31</v>
      </c>
      <c r="C30" s="1" t="s">
        <v>104</v>
      </c>
      <c r="D30" s="1" t="s">
        <v>42</v>
      </c>
      <c r="E30" s="1" t="s">
        <v>43</v>
      </c>
      <c r="F30" s="1">
        <v>2566</v>
      </c>
      <c r="G30" s="1">
        <v>118</v>
      </c>
      <c r="H30" s="1">
        <v>37</v>
      </c>
      <c r="I30" s="1">
        <v>12830</v>
      </c>
      <c r="J30" s="1">
        <v>12264</v>
      </c>
      <c r="K30" s="1">
        <v>221</v>
      </c>
      <c r="L30" s="1" t="s">
        <v>105</v>
      </c>
      <c r="M30" s="1" t="s">
        <v>38</v>
      </c>
    </row>
    <row r="31" spans="1:13" ht="14.25" customHeight="1">
      <c r="A31" s="1" t="s">
        <v>106</v>
      </c>
      <c r="B31" s="1" t="s">
        <v>31</v>
      </c>
      <c r="C31" s="1" t="s">
        <v>107</v>
      </c>
      <c r="D31" s="1" t="s">
        <v>69</v>
      </c>
      <c r="E31" s="1" t="s">
        <v>70</v>
      </c>
      <c r="F31" s="1">
        <v>3095</v>
      </c>
      <c r="G31" s="1">
        <v>39</v>
      </c>
      <c r="H31" s="1">
        <v>78</v>
      </c>
      <c r="I31" s="1">
        <v>55710</v>
      </c>
      <c r="J31" s="1">
        <v>54808</v>
      </c>
      <c r="K31" s="1">
        <v>93</v>
      </c>
      <c r="L31" s="1" t="s">
        <v>18</v>
      </c>
      <c r="M31" s="1" t="s">
        <v>55</v>
      </c>
    </row>
    <row r="32" spans="1:13" ht="14.25" customHeight="1">
      <c r="A32" s="1" t="s">
        <v>108</v>
      </c>
      <c r="B32" s="1" t="s">
        <v>31</v>
      </c>
      <c r="C32" s="1" t="s">
        <v>109</v>
      </c>
      <c r="D32" s="1" t="s">
        <v>22</v>
      </c>
      <c r="E32" s="1" t="s">
        <v>23</v>
      </c>
      <c r="F32" s="1">
        <v>438</v>
      </c>
      <c r="G32" s="1">
        <v>153</v>
      </c>
      <c r="H32" s="1">
        <v>275</v>
      </c>
      <c r="I32" s="1">
        <v>3066</v>
      </c>
      <c r="J32" s="1">
        <v>2701</v>
      </c>
      <c r="K32" s="1">
        <v>282</v>
      </c>
      <c r="L32" s="1" t="s">
        <v>44</v>
      </c>
      <c r="M32" s="1" t="s">
        <v>55</v>
      </c>
    </row>
    <row r="33" spans="1:13" ht="14.25" customHeight="1">
      <c r="A33" s="1" t="s">
        <v>110</v>
      </c>
      <c r="B33" s="1" t="s">
        <v>14</v>
      </c>
      <c r="C33" s="1" t="s">
        <v>111</v>
      </c>
      <c r="D33" s="1" t="s">
        <v>42</v>
      </c>
      <c r="E33" s="1" t="s">
        <v>43</v>
      </c>
      <c r="F33" s="1">
        <v>2278</v>
      </c>
      <c r="G33" s="1">
        <v>10</v>
      </c>
      <c r="H33" s="1">
        <v>321</v>
      </c>
      <c r="I33" s="1">
        <v>13668</v>
      </c>
      <c r="J33" s="1">
        <v>12676</v>
      </c>
      <c r="K33" s="1">
        <v>275</v>
      </c>
      <c r="L33" s="1" t="s">
        <v>105</v>
      </c>
      <c r="M33" s="1" t="s">
        <v>55</v>
      </c>
    </row>
    <row r="34" spans="1:13" ht="14.25" customHeight="1">
      <c r="A34" s="1" t="s">
        <v>112</v>
      </c>
      <c r="B34" s="1" t="s">
        <v>40</v>
      </c>
      <c r="C34" s="1" t="s">
        <v>113</v>
      </c>
      <c r="D34" s="1" t="s">
        <v>49</v>
      </c>
      <c r="E34" s="1" t="s">
        <v>50</v>
      </c>
      <c r="F34" s="1">
        <v>1407</v>
      </c>
      <c r="G34" s="1">
        <v>400</v>
      </c>
      <c r="H34" s="1">
        <v>351</v>
      </c>
      <c r="I34" s="1">
        <v>16884</v>
      </c>
      <c r="J34" s="1">
        <v>15954</v>
      </c>
      <c r="K34" s="1">
        <v>113</v>
      </c>
      <c r="L34" s="1" t="s">
        <v>71</v>
      </c>
      <c r="M34" s="1" t="s">
        <v>38</v>
      </c>
    </row>
    <row r="35" spans="1:13" ht="14.25" customHeight="1">
      <c r="A35" s="1" t="s">
        <v>114</v>
      </c>
      <c r="B35" s="1" t="s">
        <v>40</v>
      </c>
      <c r="C35" s="1" t="s">
        <v>115</v>
      </c>
      <c r="D35" s="1" t="s">
        <v>22</v>
      </c>
      <c r="E35" s="1" t="s">
        <v>23</v>
      </c>
      <c r="F35" s="1">
        <v>1652</v>
      </c>
      <c r="G35" s="1">
        <v>89</v>
      </c>
      <c r="H35" s="1">
        <v>357</v>
      </c>
      <c r="I35" s="1">
        <v>29736</v>
      </c>
      <c r="J35" s="1">
        <v>28771</v>
      </c>
      <c r="K35" s="1">
        <v>215</v>
      </c>
      <c r="L35" s="1" t="s">
        <v>116</v>
      </c>
      <c r="M35" s="1" t="s">
        <v>25</v>
      </c>
    </row>
    <row r="36" spans="1:13" ht="14.25" customHeight="1">
      <c r="A36" s="1" t="s">
        <v>117</v>
      </c>
      <c r="B36" s="1" t="s">
        <v>31</v>
      </c>
      <c r="C36" s="1" t="s">
        <v>118</v>
      </c>
      <c r="D36" s="1" t="s">
        <v>69</v>
      </c>
      <c r="E36" s="1" t="s">
        <v>70</v>
      </c>
      <c r="F36" s="1">
        <v>3775</v>
      </c>
      <c r="G36" s="1">
        <v>16</v>
      </c>
      <c r="H36" s="1">
        <v>239</v>
      </c>
      <c r="I36" s="1">
        <v>33975</v>
      </c>
      <c r="J36" s="1">
        <v>33310</v>
      </c>
      <c r="K36" s="1">
        <v>271</v>
      </c>
      <c r="L36" s="1" t="s">
        <v>61</v>
      </c>
      <c r="M36" s="1" t="s">
        <v>38</v>
      </c>
    </row>
    <row r="37" spans="1:13" ht="14.25" customHeight="1">
      <c r="A37" s="1" t="s">
        <v>119</v>
      </c>
      <c r="B37" s="1" t="s">
        <v>31</v>
      </c>
      <c r="C37" s="1" t="s">
        <v>120</v>
      </c>
      <c r="D37" s="1" t="s">
        <v>33</v>
      </c>
      <c r="E37" s="1" t="s">
        <v>34</v>
      </c>
      <c r="F37" s="1">
        <v>4518</v>
      </c>
      <c r="G37" s="1">
        <v>285</v>
      </c>
      <c r="H37" s="1">
        <v>383</v>
      </c>
      <c r="I37" s="1">
        <v>67770</v>
      </c>
      <c r="J37" s="1">
        <v>67621</v>
      </c>
      <c r="K37" s="1">
        <v>31</v>
      </c>
      <c r="L37" s="1" t="s">
        <v>77</v>
      </c>
      <c r="M37" s="1" t="s">
        <v>25</v>
      </c>
    </row>
    <row r="38" spans="1:13" ht="14.25" customHeight="1">
      <c r="A38" s="1" t="s">
        <v>121</v>
      </c>
      <c r="B38" s="1" t="s">
        <v>40</v>
      </c>
      <c r="C38" s="1" t="s">
        <v>122</v>
      </c>
      <c r="D38" s="1" t="s">
        <v>42</v>
      </c>
      <c r="E38" s="1" t="s">
        <v>43</v>
      </c>
      <c r="F38" s="1">
        <v>3024</v>
      </c>
      <c r="G38" s="1">
        <v>925</v>
      </c>
      <c r="H38" s="1">
        <v>350</v>
      </c>
      <c r="I38" s="1">
        <v>24192</v>
      </c>
      <c r="J38" s="1">
        <v>23518</v>
      </c>
      <c r="K38" s="1">
        <v>36</v>
      </c>
      <c r="L38" s="1" t="s">
        <v>18</v>
      </c>
      <c r="M38" s="1" t="s">
        <v>38</v>
      </c>
    </row>
    <row r="39" spans="1:13" ht="14.25" customHeight="1">
      <c r="A39" s="1" t="s">
        <v>123</v>
      </c>
      <c r="B39" s="1" t="s">
        <v>27</v>
      </c>
      <c r="C39" s="1" t="s">
        <v>124</v>
      </c>
      <c r="D39" s="1" t="s">
        <v>16</v>
      </c>
      <c r="E39" s="1" t="s">
        <v>17</v>
      </c>
      <c r="F39" s="1">
        <v>3138</v>
      </c>
      <c r="G39" s="1">
        <v>123</v>
      </c>
      <c r="H39" s="1">
        <v>291</v>
      </c>
      <c r="I39" s="1">
        <v>28242</v>
      </c>
      <c r="J39" s="1">
        <v>27550</v>
      </c>
      <c r="K39" s="1">
        <v>87</v>
      </c>
      <c r="L39" s="1" t="s">
        <v>77</v>
      </c>
      <c r="M39" s="1" t="s">
        <v>55</v>
      </c>
    </row>
    <row r="40" spans="1:13" ht="14.25" customHeight="1">
      <c r="A40" s="1" t="s">
        <v>125</v>
      </c>
      <c r="B40" s="1" t="s">
        <v>40</v>
      </c>
      <c r="C40" s="1" t="s">
        <v>126</v>
      </c>
      <c r="D40" s="1" t="s">
        <v>49</v>
      </c>
      <c r="E40" s="1" t="s">
        <v>50</v>
      </c>
      <c r="F40" s="1">
        <v>3564</v>
      </c>
      <c r="G40" s="1">
        <v>629</v>
      </c>
      <c r="H40" s="1">
        <v>177</v>
      </c>
      <c r="I40" s="1">
        <v>60588</v>
      </c>
      <c r="J40" s="1">
        <v>59627</v>
      </c>
      <c r="K40" s="1">
        <v>92</v>
      </c>
      <c r="L40" s="1" t="s">
        <v>127</v>
      </c>
      <c r="M40" s="1" t="s">
        <v>38</v>
      </c>
    </row>
    <row r="41" spans="1:13" ht="14.25" customHeight="1">
      <c r="A41" s="1" t="s">
        <v>128</v>
      </c>
      <c r="B41" s="1" t="s">
        <v>14</v>
      </c>
      <c r="C41" s="1" t="s">
        <v>129</v>
      </c>
      <c r="D41" s="1" t="s">
        <v>49</v>
      </c>
      <c r="E41" s="1" t="s">
        <v>50</v>
      </c>
      <c r="F41" s="1">
        <v>4750</v>
      </c>
      <c r="G41" s="1">
        <v>151</v>
      </c>
      <c r="H41" s="1">
        <v>415</v>
      </c>
      <c r="I41" s="1">
        <v>38000</v>
      </c>
      <c r="J41" s="1">
        <v>37792</v>
      </c>
      <c r="K41" s="1">
        <v>299</v>
      </c>
      <c r="L41" s="1" t="s">
        <v>61</v>
      </c>
      <c r="M41" s="1" t="s">
        <v>25</v>
      </c>
    </row>
    <row r="42" spans="1:13" ht="14.25" customHeight="1">
      <c r="A42" s="1" t="s">
        <v>130</v>
      </c>
      <c r="B42" s="1" t="s">
        <v>31</v>
      </c>
      <c r="C42" s="1" t="s">
        <v>131</v>
      </c>
      <c r="D42" s="1" t="s">
        <v>16</v>
      </c>
      <c r="E42" s="1" t="s">
        <v>17</v>
      </c>
      <c r="F42" s="1">
        <v>456</v>
      </c>
      <c r="G42" s="1">
        <v>629</v>
      </c>
      <c r="H42" s="1">
        <v>428</v>
      </c>
      <c r="I42" s="1">
        <v>8208</v>
      </c>
      <c r="J42" s="1">
        <v>7377</v>
      </c>
      <c r="K42" s="1">
        <v>205</v>
      </c>
      <c r="L42" s="1" t="s">
        <v>74</v>
      </c>
      <c r="M42" s="1" t="s">
        <v>38</v>
      </c>
    </row>
    <row r="43" spans="1:13" ht="14.25" customHeight="1">
      <c r="A43" s="1" t="s">
        <v>132</v>
      </c>
      <c r="B43" s="1" t="s">
        <v>27</v>
      </c>
      <c r="C43" s="1" t="s">
        <v>133</v>
      </c>
      <c r="D43" s="1" t="s">
        <v>16</v>
      </c>
      <c r="E43" s="1" t="s">
        <v>17</v>
      </c>
      <c r="F43" s="1">
        <v>1543</v>
      </c>
      <c r="G43" s="1">
        <v>820</v>
      </c>
      <c r="H43" s="1">
        <v>333</v>
      </c>
      <c r="I43" s="1">
        <v>12344</v>
      </c>
      <c r="J43" s="1">
        <v>11496</v>
      </c>
      <c r="K43" s="1">
        <v>241</v>
      </c>
      <c r="L43" s="1" t="s">
        <v>58</v>
      </c>
      <c r="M43" s="1" t="s">
        <v>38</v>
      </c>
    </row>
    <row r="44" spans="1:13" ht="14.25" customHeight="1">
      <c r="A44" s="1" t="s">
        <v>134</v>
      </c>
      <c r="B44" s="1" t="s">
        <v>31</v>
      </c>
      <c r="C44" s="1" t="s">
        <v>135</v>
      </c>
      <c r="D44" s="1" t="s">
        <v>42</v>
      </c>
      <c r="E44" s="1" t="s">
        <v>43</v>
      </c>
      <c r="F44" s="1">
        <v>2174</v>
      </c>
      <c r="G44" s="1">
        <v>658</v>
      </c>
      <c r="H44" s="1">
        <v>15</v>
      </c>
      <c r="I44" s="1">
        <v>13044</v>
      </c>
      <c r="J44" s="1">
        <v>12206</v>
      </c>
      <c r="K44" s="1">
        <v>137</v>
      </c>
      <c r="L44" s="1" t="s">
        <v>66</v>
      </c>
      <c r="M44" s="1" t="s">
        <v>55</v>
      </c>
    </row>
    <row r="45" spans="1:13" ht="14.25" customHeight="1">
      <c r="A45" s="1" t="s">
        <v>136</v>
      </c>
      <c r="B45" s="1" t="s">
        <v>14</v>
      </c>
      <c r="C45" s="1" t="s">
        <v>137</v>
      </c>
      <c r="D45" s="1" t="s">
        <v>49</v>
      </c>
      <c r="E45" s="1" t="s">
        <v>50</v>
      </c>
      <c r="F45" s="1">
        <v>2358</v>
      </c>
      <c r="G45" s="1">
        <v>784</v>
      </c>
      <c r="H45" s="1">
        <v>344</v>
      </c>
      <c r="I45" s="1">
        <v>35370</v>
      </c>
      <c r="J45" s="1">
        <v>34475</v>
      </c>
      <c r="K45" s="1">
        <v>216</v>
      </c>
      <c r="L45" s="1" t="s">
        <v>82</v>
      </c>
      <c r="M45" s="1" t="s">
        <v>19</v>
      </c>
    </row>
    <row r="46" spans="1:13" ht="14.25" customHeight="1">
      <c r="A46" s="1" t="s">
        <v>138</v>
      </c>
      <c r="B46" s="1" t="s">
        <v>40</v>
      </c>
      <c r="C46" s="1" t="s">
        <v>139</v>
      </c>
      <c r="D46" s="1" t="s">
        <v>69</v>
      </c>
      <c r="E46" s="1" t="s">
        <v>70</v>
      </c>
      <c r="F46" s="1">
        <v>3371</v>
      </c>
      <c r="G46" s="1">
        <v>106</v>
      </c>
      <c r="H46" s="1">
        <v>327</v>
      </c>
      <c r="I46" s="1">
        <v>50565</v>
      </c>
      <c r="J46" s="1">
        <v>49816</v>
      </c>
      <c r="K46" s="1">
        <v>176</v>
      </c>
      <c r="L46" s="1" t="s">
        <v>77</v>
      </c>
      <c r="M46" s="1" t="s">
        <v>55</v>
      </c>
    </row>
    <row r="47" spans="1:13" ht="14.25" customHeight="1">
      <c r="A47" s="1" t="s">
        <v>140</v>
      </c>
      <c r="B47" s="1" t="s">
        <v>14</v>
      </c>
      <c r="C47" s="1" t="s">
        <v>141</v>
      </c>
      <c r="D47" s="1" t="s">
        <v>69</v>
      </c>
      <c r="E47" s="1" t="s">
        <v>70</v>
      </c>
      <c r="F47" s="1">
        <v>1108</v>
      </c>
      <c r="G47" s="1">
        <v>177</v>
      </c>
      <c r="H47" s="1">
        <v>212</v>
      </c>
      <c r="I47" s="1">
        <v>8864</v>
      </c>
      <c r="J47" s="1">
        <v>8710</v>
      </c>
      <c r="K47" s="1">
        <v>97</v>
      </c>
      <c r="L47" s="1" t="s">
        <v>24</v>
      </c>
      <c r="M47" s="1" t="s">
        <v>55</v>
      </c>
    </row>
    <row r="48" spans="1:13" ht="14.25" customHeight="1">
      <c r="A48" s="1" t="s">
        <v>142</v>
      </c>
      <c r="B48" s="1" t="s">
        <v>14</v>
      </c>
      <c r="C48" s="1" t="s">
        <v>143</v>
      </c>
      <c r="D48" s="1" t="s">
        <v>42</v>
      </c>
      <c r="E48" s="1" t="s">
        <v>43</v>
      </c>
      <c r="F48" s="1">
        <v>2704</v>
      </c>
      <c r="G48" s="1">
        <v>752</v>
      </c>
      <c r="H48" s="1">
        <v>153</v>
      </c>
      <c r="I48" s="1">
        <v>21632</v>
      </c>
      <c r="J48" s="1">
        <v>20792</v>
      </c>
      <c r="K48" s="1">
        <v>127</v>
      </c>
      <c r="L48" s="1" t="s">
        <v>144</v>
      </c>
      <c r="M48" s="1" t="s">
        <v>19</v>
      </c>
    </row>
    <row r="49" spans="1:13" ht="14.25" customHeight="1">
      <c r="A49" s="1" t="s">
        <v>145</v>
      </c>
      <c r="B49" s="1" t="s">
        <v>14</v>
      </c>
      <c r="C49" s="1" t="s">
        <v>54</v>
      </c>
      <c r="D49" s="1" t="s">
        <v>33</v>
      </c>
      <c r="E49" s="1" t="s">
        <v>34</v>
      </c>
      <c r="F49" s="1">
        <v>1950</v>
      </c>
      <c r="G49" s="1">
        <v>295</v>
      </c>
      <c r="H49" s="1">
        <v>478</v>
      </c>
      <c r="I49" s="1">
        <v>37050</v>
      </c>
      <c r="J49" s="1">
        <v>36272</v>
      </c>
      <c r="K49" s="1">
        <v>119</v>
      </c>
      <c r="L49" s="1" t="s">
        <v>146</v>
      </c>
      <c r="M49" s="1" t="s">
        <v>55</v>
      </c>
    </row>
    <row r="50" spans="1:13" ht="14.25" customHeight="1">
      <c r="A50" s="1" t="s">
        <v>147</v>
      </c>
      <c r="B50" s="1" t="s">
        <v>14</v>
      </c>
      <c r="C50" s="1" t="s">
        <v>148</v>
      </c>
      <c r="D50" s="1" t="s">
        <v>33</v>
      </c>
      <c r="E50" s="1" t="s">
        <v>34</v>
      </c>
      <c r="F50" s="1">
        <v>2164</v>
      </c>
      <c r="G50" s="1">
        <v>549</v>
      </c>
      <c r="H50" s="1">
        <v>274</v>
      </c>
      <c r="I50" s="1">
        <v>28132</v>
      </c>
      <c r="J50" s="1">
        <v>27361</v>
      </c>
      <c r="K50" s="1">
        <v>177</v>
      </c>
      <c r="L50" s="1" t="s">
        <v>58</v>
      </c>
      <c r="M50" s="1" t="s">
        <v>19</v>
      </c>
    </row>
    <row r="51" spans="1:13" ht="14.25" customHeight="1">
      <c r="A51" s="1" t="s">
        <v>149</v>
      </c>
      <c r="B51" s="1" t="s">
        <v>27</v>
      </c>
      <c r="C51" s="1" t="s">
        <v>150</v>
      </c>
      <c r="D51" s="1" t="s">
        <v>33</v>
      </c>
      <c r="E51" s="1" t="s">
        <v>34</v>
      </c>
      <c r="F51" s="1">
        <v>2754</v>
      </c>
      <c r="G51" s="1">
        <v>130</v>
      </c>
      <c r="H51" s="1">
        <v>90</v>
      </c>
      <c r="I51" s="1">
        <v>22032</v>
      </c>
      <c r="J51" s="1">
        <v>21288</v>
      </c>
      <c r="K51" s="1">
        <v>112</v>
      </c>
      <c r="L51" s="1" t="s">
        <v>24</v>
      </c>
      <c r="M51" s="1" t="s">
        <v>19</v>
      </c>
    </row>
    <row r="52" spans="1:13" ht="14.25" customHeight="1">
      <c r="A52" s="1" t="s">
        <v>151</v>
      </c>
      <c r="B52" s="1" t="s">
        <v>40</v>
      </c>
      <c r="C52" s="1" t="s">
        <v>152</v>
      </c>
      <c r="D52" s="1" t="s">
        <v>42</v>
      </c>
      <c r="E52" s="1" t="s">
        <v>43</v>
      </c>
      <c r="F52" s="1">
        <v>2200</v>
      </c>
      <c r="G52" s="1">
        <v>504</v>
      </c>
      <c r="H52" s="1">
        <v>239</v>
      </c>
      <c r="I52" s="1">
        <v>37400</v>
      </c>
      <c r="J52" s="1">
        <v>36938</v>
      </c>
      <c r="K52" s="1">
        <v>225</v>
      </c>
      <c r="L52" s="1" t="s">
        <v>18</v>
      </c>
      <c r="M52" s="1" t="s">
        <v>38</v>
      </c>
    </row>
    <row r="53" spans="1:13" ht="14.25" customHeight="1">
      <c r="A53" s="1" t="s">
        <v>153</v>
      </c>
      <c r="B53" s="1" t="s">
        <v>40</v>
      </c>
      <c r="C53" s="1" t="s">
        <v>154</v>
      </c>
      <c r="D53" s="1" t="s">
        <v>49</v>
      </c>
      <c r="E53" s="1" t="s">
        <v>50</v>
      </c>
      <c r="F53" s="1">
        <v>947</v>
      </c>
      <c r="G53" s="1">
        <v>338</v>
      </c>
      <c r="H53" s="1">
        <v>350</v>
      </c>
      <c r="I53" s="1">
        <v>10417</v>
      </c>
      <c r="J53" s="1">
        <v>9730</v>
      </c>
      <c r="K53" s="1">
        <v>34</v>
      </c>
      <c r="L53" s="1" t="s">
        <v>29</v>
      </c>
      <c r="M53" s="1" t="s">
        <v>38</v>
      </c>
    </row>
    <row r="54" spans="1:13" ht="14.25" customHeight="1">
      <c r="A54" s="1" t="s">
        <v>155</v>
      </c>
      <c r="B54" s="1" t="s">
        <v>27</v>
      </c>
      <c r="C54" s="1" t="s">
        <v>143</v>
      </c>
      <c r="D54" s="1" t="s">
        <v>42</v>
      </c>
      <c r="E54" s="1" t="s">
        <v>43</v>
      </c>
      <c r="F54" s="1">
        <v>804</v>
      </c>
      <c r="G54" s="1">
        <v>639</v>
      </c>
      <c r="H54" s="1">
        <v>43</v>
      </c>
      <c r="I54" s="1">
        <v>4020</v>
      </c>
      <c r="J54" s="1">
        <v>3144</v>
      </c>
      <c r="K54" s="1">
        <v>11</v>
      </c>
      <c r="L54" s="1" t="s">
        <v>87</v>
      </c>
      <c r="M54" s="1" t="s">
        <v>55</v>
      </c>
    </row>
    <row r="55" spans="1:13" ht="14.25" customHeight="1">
      <c r="A55" s="1" t="s">
        <v>156</v>
      </c>
      <c r="B55" s="1" t="s">
        <v>27</v>
      </c>
      <c r="C55" s="1" t="s">
        <v>157</v>
      </c>
      <c r="D55" s="1" t="s">
        <v>42</v>
      </c>
      <c r="E55" s="1" t="s">
        <v>43</v>
      </c>
      <c r="F55" s="1">
        <v>1686</v>
      </c>
      <c r="G55" s="1">
        <v>904</v>
      </c>
      <c r="H55" s="1">
        <v>472</v>
      </c>
      <c r="I55" s="1">
        <v>18546</v>
      </c>
      <c r="J55" s="1">
        <v>18171</v>
      </c>
      <c r="K55" s="1">
        <v>52</v>
      </c>
      <c r="L55" s="1" t="s">
        <v>71</v>
      </c>
      <c r="M55" s="1" t="s">
        <v>25</v>
      </c>
    </row>
    <row r="56" spans="1:13" ht="14.25" customHeight="1">
      <c r="A56" s="1" t="s">
        <v>158</v>
      </c>
      <c r="B56" s="1" t="s">
        <v>40</v>
      </c>
      <c r="C56" s="1" t="s">
        <v>159</v>
      </c>
      <c r="D56" s="1" t="s">
        <v>49</v>
      </c>
      <c r="E56" s="1" t="s">
        <v>50</v>
      </c>
      <c r="F56" s="1">
        <v>1226</v>
      </c>
      <c r="G56" s="1">
        <v>119</v>
      </c>
      <c r="H56" s="1">
        <v>7</v>
      </c>
      <c r="I56" s="1">
        <v>14712</v>
      </c>
      <c r="J56" s="1">
        <v>14049</v>
      </c>
      <c r="K56" s="1">
        <v>123</v>
      </c>
      <c r="L56" s="1" t="s">
        <v>102</v>
      </c>
      <c r="M56" s="1" t="s">
        <v>55</v>
      </c>
    </row>
    <row r="57" spans="1:13" ht="14.25" customHeight="1">
      <c r="A57" s="1" t="s">
        <v>160</v>
      </c>
      <c r="B57" s="1" t="s">
        <v>40</v>
      </c>
      <c r="C57" s="1" t="s">
        <v>161</v>
      </c>
      <c r="D57" s="1" t="s">
        <v>42</v>
      </c>
      <c r="E57" s="1" t="s">
        <v>43</v>
      </c>
      <c r="F57" s="1">
        <v>2946</v>
      </c>
      <c r="G57" s="1">
        <v>498</v>
      </c>
      <c r="H57" s="1">
        <v>367</v>
      </c>
      <c r="I57" s="1">
        <v>29460</v>
      </c>
      <c r="J57" s="1">
        <v>28527</v>
      </c>
      <c r="K57" s="1">
        <v>60</v>
      </c>
      <c r="L57" s="1" t="s">
        <v>162</v>
      </c>
      <c r="M57" s="1" t="s">
        <v>25</v>
      </c>
    </row>
    <row r="58" spans="1:13" ht="14.25" customHeight="1">
      <c r="A58" s="1" t="s">
        <v>163</v>
      </c>
      <c r="B58" s="1" t="s">
        <v>14</v>
      </c>
      <c r="C58" s="1" t="s">
        <v>164</v>
      </c>
      <c r="D58" s="1" t="s">
        <v>69</v>
      </c>
      <c r="E58" s="1" t="s">
        <v>70</v>
      </c>
      <c r="F58" s="1">
        <v>2825</v>
      </c>
      <c r="G58" s="1">
        <v>535</v>
      </c>
      <c r="H58" s="1">
        <v>295</v>
      </c>
      <c r="I58" s="1">
        <v>45200</v>
      </c>
      <c r="J58" s="1">
        <v>44739</v>
      </c>
      <c r="K58" s="1">
        <v>169</v>
      </c>
      <c r="L58" s="1" t="s">
        <v>58</v>
      </c>
      <c r="M58" s="1" t="s">
        <v>25</v>
      </c>
    </row>
    <row r="59" spans="1:13" ht="14.25" customHeight="1">
      <c r="A59" s="1" t="s">
        <v>165</v>
      </c>
      <c r="B59" s="1" t="s">
        <v>31</v>
      </c>
      <c r="C59" s="1" t="s">
        <v>166</v>
      </c>
      <c r="D59" s="1" t="s">
        <v>16</v>
      </c>
      <c r="E59" s="1" t="s">
        <v>17</v>
      </c>
      <c r="F59" s="1">
        <v>103</v>
      </c>
      <c r="G59" s="1">
        <v>770</v>
      </c>
      <c r="H59" s="1">
        <v>19</v>
      </c>
      <c r="I59" s="1">
        <v>1030</v>
      </c>
      <c r="J59" s="1">
        <v>410</v>
      </c>
      <c r="K59" s="1">
        <v>262</v>
      </c>
      <c r="L59" s="1" t="s">
        <v>18</v>
      </c>
      <c r="M59" s="1" t="s">
        <v>38</v>
      </c>
    </row>
    <row r="60" spans="1:13" ht="14.25" customHeight="1">
      <c r="A60" s="1" t="s">
        <v>167</v>
      </c>
      <c r="B60" s="1" t="s">
        <v>31</v>
      </c>
      <c r="C60" s="1" t="s">
        <v>168</v>
      </c>
      <c r="D60" s="1" t="s">
        <v>22</v>
      </c>
      <c r="E60" s="1" t="s">
        <v>23</v>
      </c>
      <c r="F60" s="1">
        <v>2180</v>
      </c>
      <c r="G60" s="1">
        <v>263</v>
      </c>
      <c r="H60" s="1">
        <v>387</v>
      </c>
      <c r="I60" s="1">
        <v>30520</v>
      </c>
      <c r="J60" s="1">
        <v>30059</v>
      </c>
      <c r="K60" s="1">
        <v>174</v>
      </c>
      <c r="L60" s="1" t="s">
        <v>77</v>
      </c>
      <c r="M60" s="1" t="s">
        <v>19</v>
      </c>
    </row>
    <row r="61" spans="1:13" ht="14.25" customHeight="1">
      <c r="A61" s="1" t="s">
        <v>169</v>
      </c>
      <c r="B61" s="1" t="s">
        <v>31</v>
      </c>
      <c r="C61" s="1" t="s">
        <v>170</v>
      </c>
      <c r="D61" s="1" t="s">
        <v>69</v>
      </c>
      <c r="E61" s="1" t="s">
        <v>70</v>
      </c>
      <c r="F61" s="1">
        <v>904</v>
      </c>
      <c r="G61" s="1">
        <v>973</v>
      </c>
      <c r="H61" s="1">
        <v>63</v>
      </c>
      <c r="I61" s="1">
        <v>11752</v>
      </c>
      <c r="J61" s="1">
        <v>11580</v>
      </c>
      <c r="K61" s="1">
        <v>84</v>
      </c>
      <c r="L61" s="1" t="s">
        <v>58</v>
      </c>
      <c r="M61" s="1" t="s">
        <v>19</v>
      </c>
    </row>
    <row r="62" spans="1:13" ht="14.25" customHeight="1">
      <c r="A62" s="1" t="s">
        <v>171</v>
      </c>
      <c r="B62" s="1" t="s">
        <v>14</v>
      </c>
      <c r="C62" s="1" t="s">
        <v>172</v>
      </c>
      <c r="D62" s="1" t="s">
        <v>69</v>
      </c>
      <c r="E62" s="1" t="s">
        <v>70</v>
      </c>
      <c r="F62" s="1">
        <v>4886</v>
      </c>
      <c r="G62" s="1">
        <v>983</v>
      </c>
      <c r="H62" s="1">
        <v>409</v>
      </c>
      <c r="I62" s="1">
        <v>43974</v>
      </c>
      <c r="J62" s="1">
        <v>43239</v>
      </c>
      <c r="K62" s="1">
        <v>65</v>
      </c>
      <c r="L62" s="1" t="s">
        <v>24</v>
      </c>
      <c r="M62" s="1" t="s">
        <v>19</v>
      </c>
    </row>
    <row r="63" spans="1:13" ht="14.25" customHeight="1">
      <c r="A63" s="1" t="s">
        <v>173</v>
      </c>
      <c r="B63" s="1" t="s">
        <v>14</v>
      </c>
      <c r="C63" s="1" t="s">
        <v>174</v>
      </c>
      <c r="D63" s="1" t="s">
        <v>42</v>
      </c>
      <c r="E63" s="1" t="s">
        <v>43</v>
      </c>
      <c r="F63" s="1">
        <v>53</v>
      </c>
      <c r="G63" s="1">
        <v>81</v>
      </c>
      <c r="H63" s="1">
        <v>379</v>
      </c>
      <c r="I63" s="1">
        <v>954</v>
      </c>
      <c r="J63" s="1">
        <v>7</v>
      </c>
      <c r="K63" s="1">
        <v>148</v>
      </c>
      <c r="L63" s="1" t="s">
        <v>77</v>
      </c>
      <c r="M63" s="1" t="s">
        <v>38</v>
      </c>
    </row>
    <row r="64" spans="1:13" ht="14.25" customHeight="1">
      <c r="A64" s="1" t="s">
        <v>175</v>
      </c>
      <c r="B64" s="1" t="s">
        <v>14</v>
      </c>
      <c r="C64" s="1" t="s">
        <v>111</v>
      </c>
      <c r="D64" s="1" t="s">
        <v>42</v>
      </c>
      <c r="E64" s="1" t="s">
        <v>43</v>
      </c>
      <c r="F64" s="1">
        <v>4507</v>
      </c>
      <c r="G64" s="1">
        <v>217</v>
      </c>
      <c r="H64" s="1">
        <v>13</v>
      </c>
      <c r="I64" s="1">
        <v>90140</v>
      </c>
      <c r="J64" s="1">
        <v>89591</v>
      </c>
      <c r="K64" s="1">
        <v>125</v>
      </c>
      <c r="L64" s="1" t="s">
        <v>18</v>
      </c>
      <c r="M64" s="1" t="s">
        <v>19</v>
      </c>
    </row>
    <row r="65" spans="1:13" ht="14.25" customHeight="1">
      <c r="A65" s="1" t="s">
        <v>176</v>
      </c>
      <c r="B65" s="1" t="s">
        <v>40</v>
      </c>
      <c r="C65" s="1" t="s">
        <v>177</v>
      </c>
      <c r="D65" s="1" t="s">
        <v>49</v>
      </c>
      <c r="E65" s="1" t="s">
        <v>50</v>
      </c>
      <c r="F65" s="1">
        <v>2878</v>
      </c>
      <c r="G65" s="1">
        <v>248</v>
      </c>
      <c r="H65" s="1">
        <v>416</v>
      </c>
      <c r="I65" s="1">
        <v>43170</v>
      </c>
      <c r="J65" s="1">
        <v>42667</v>
      </c>
      <c r="K65" s="1">
        <v>75</v>
      </c>
      <c r="L65" s="1" t="s">
        <v>178</v>
      </c>
      <c r="M65" s="1" t="s">
        <v>25</v>
      </c>
    </row>
    <row r="66" spans="1:13" ht="14.25" customHeight="1">
      <c r="A66" s="1" t="s">
        <v>179</v>
      </c>
      <c r="B66" s="1" t="s">
        <v>31</v>
      </c>
      <c r="C66" s="1" t="s">
        <v>180</v>
      </c>
      <c r="D66" s="1" t="s">
        <v>33</v>
      </c>
      <c r="E66" s="1" t="s">
        <v>34</v>
      </c>
      <c r="F66" s="1">
        <v>1881</v>
      </c>
      <c r="G66" s="1">
        <v>501</v>
      </c>
      <c r="H66" s="1">
        <v>99</v>
      </c>
      <c r="I66" s="1">
        <v>20691</v>
      </c>
      <c r="J66" s="1">
        <v>19987</v>
      </c>
      <c r="K66" s="1">
        <v>289</v>
      </c>
      <c r="L66" s="1" t="s">
        <v>77</v>
      </c>
      <c r="M66" s="1" t="s">
        <v>25</v>
      </c>
    </row>
    <row r="67" spans="1:13" ht="14.25" customHeight="1">
      <c r="A67" s="1" t="s">
        <v>181</v>
      </c>
      <c r="B67" s="1" t="s">
        <v>14</v>
      </c>
      <c r="C67" s="1" t="s">
        <v>182</v>
      </c>
      <c r="D67" s="1" t="s">
        <v>42</v>
      </c>
      <c r="E67" s="1" t="s">
        <v>43</v>
      </c>
      <c r="F67" s="1">
        <v>432</v>
      </c>
      <c r="G67" s="1">
        <v>171</v>
      </c>
      <c r="H67" s="1">
        <v>280</v>
      </c>
      <c r="I67" s="1">
        <v>3024</v>
      </c>
      <c r="J67" s="1">
        <v>2285</v>
      </c>
      <c r="K67" s="1">
        <v>184</v>
      </c>
      <c r="L67" s="1" t="s">
        <v>24</v>
      </c>
      <c r="M67" s="1" t="s">
        <v>38</v>
      </c>
    </row>
    <row r="68" spans="1:13" ht="14.25" customHeight="1">
      <c r="A68" s="1" t="s">
        <v>183</v>
      </c>
      <c r="B68" s="1" t="s">
        <v>40</v>
      </c>
      <c r="C68" s="1" t="s">
        <v>184</v>
      </c>
      <c r="D68" s="1" t="s">
        <v>42</v>
      </c>
      <c r="E68" s="1" t="s">
        <v>43</v>
      </c>
      <c r="F68" s="1">
        <v>4712</v>
      </c>
      <c r="G68" s="1">
        <v>568</v>
      </c>
      <c r="H68" s="1">
        <v>127</v>
      </c>
      <c r="I68" s="1">
        <v>84816</v>
      </c>
      <c r="J68" s="1">
        <v>84691</v>
      </c>
      <c r="K68" s="1">
        <v>100</v>
      </c>
      <c r="L68" s="1" t="s">
        <v>77</v>
      </c>
      <c r="M68" s="1" t="s">
        <v>19</v>
      </c>
    </row>
    <row r="69" spans="1:13" ht="14.25" customHeight="1">
      <c r="A69" s="1" t="s">
        <v>185</v>
      </c>
      <c r="B69" s="1" t="s">
        <v>31</v>
      </c>
      <c r="C69" s="1" t="s">
        <v>186</v>
      </c>
      <c r="D69" s="1" t="s">
        <v>33</v>
      </c>
      <c r="E69" s="1" t="s">
        <v>34</v>
      </c>
      <c r="F69" s="1">
        <v>2610</v>
      </c>
      <c r="G69" s="1">
        <v>126</v>
      </c>
      <c r="H69" s="1">
        <v>288</v>
      </c>
      <c r="I69" s="1">
        <v>15660</v>
      </c>
      <c r="J69" s="1">
        <v>15145</v>
      </c>
      <c r="K69" s="1">
        <v>73</v>
      </c>
      <c r="L69" s="1" t="s">
        <v>24</v>
      </c>
      <c r="M69" s="1" t="s">
        <v>19</v>
      </c>
    </row>
    <row r="70" spans="1:13" ht="14.25" customHeight="1">
      <c r="A70" s="1" t="s">
        <v>187</v>
      </c>
      <c r="B70" s="1" t="s">
        <v>14</v>
      </c>
      <c r="C70" s="1" t="s">
        <v>131</v>
      </c>
      <c r="D70" s="1" t="s">
        <v>22</v>
      </c>
      <c r="E70" s="1" t="s">
        <v>23</v>
      </c>
      <c r="F70" s="1">
        <v>1292</v>
      </c>
      <c r="G70" s="1">
        <v>626</v>
      </c>
      <c r="H70" s="1">
        <v>496</v>
      </c>
      <c r="I70" s="1">
        <v>25840</v>
      </c>
      <c r="J70" s="1">
        <v>24916</v>
      </c>
      <c r="K70" s="1">
        <v>149</v>
      </c>
      <c r="L70" s="1" t="s">
        <v>87</v>
      </c>
      <c r="M70" s="1" t="s">
        <v>55</v>
      </c>
    </row>
    <row r="71" spans="1:13" ht="14.25" customHeight="1">
      <c r="A71" s="1" t="s">
        <v>188</v>
      </c>
      <c r="B71" s="1" t="s">
        <v>40</v>
      </c>
      <c r="C71" s="1" t="s">
        <v>189</v>
      </c>
      <c r="D71" s="1" t="s">
        <v>69</v>
      </c>
      <c r="E71" s="1" t="s">
        <v>70</v>
      </c>
      <c r="F71" s="1">
        <v>199</v>
      </c>
      <c r="G71" s="1">
        <v>772</v>
      </c>
      <c r="H71" s="1">
        <v>400</v>
      </c>
      <c r="I71" s="1">
        <v>3582</v>
      </c>
      <c r="J71" s="1">
        <v>2988</v>
      </c>
      <c r="K71" s="1">
        <v>43</v>
      </c>
      <c r="L71" s="1" t="s">
        <v>44</v>
      </c>
      <c r="M71" s="1" t="s">
        <v>19</v>
      </c>
    </row>
    <row r="72" spans="1:13" ht="14.25" customHeight="1">
      <c r="A72" s="1" t="s">
        <v>190</v>
      </c>
      <c r="B72" s="1" t="s">
        <v>27</v>
      </c>
      <c r="C72" s="1" t="s">
        <v>191</v>
      </c>
      <c r="D72" s="1" t="s">
        <v>42</v>
      </c>
      <c r="E72" s="1" t="s">
        <v>43</v>
      </c>
      <c r="F72" s="1">
        <v>2551</v>
      </c>
      <c r="G72" s="1">
        <v>915</v>
      </c>
      <c r="H72" s="1">
        <v>205</v>
      </c>
      <c r="I72" s="1">
        <v>30612</v>
      </c>
      <c r="J72" s="1">
        <v>30360</v>
      </c>
      <c r="K72" s="1">
        <v>227</v>
      </c>
      <c r="L72" s="1" t="s">
        <v>74</v>
      </c>
      <c r="M72" s="1" t="s">
        <v>25</v>
      </c>
    </row>
    <row r="73" spans="1:13" ht="14.25" customHeight="1">
      <c r="A73" s="1" t="s">
        <v>192</v>
      </c>
      <c r="B73" s="1" t="s">
        <v>27</v>
      </c>
      <c r="C73" s="1" t="s">
        <v>193</v>
      </c>
      <c r="D73" s="1" t="s">
        <v>16</v>
      </c>
      <c r="E73" s="1" t="s">
        <v>17</v>
      </c>
      <c r="F73" s="1">
        <v>296</v>
      </c>
      <c r="G73" s="1">
        <v>60</v>
      </c>
      <c r="H73" s="1">
        <v>141</v>
      </c>
      <c r="I73" s="1">
        <v>5624</v>
      </c>
      <c r="J73" s="1">
        <v>5239</v>
      </c>
      <c r="K73" s="1">
        <v>88</v>
      </c>
      <c r="L73" s="1" t="s">
        <v>44</v>
      </c>
      <c r="M73" s="1" t="s">
        <v>55</v>
      </c>
    </row>
    <row r="74" spans="1:13" ht="14.25" customHeight="1">
      <c r="A74" s="1" t="s">
        <v>194</v>
      </c>
      <c r="B74" s="1" t="s">
        <v>40</v>
      </c>
      <c r="C74" s="1" t="s">
        <v>195</v>
      </c>
      <c r="D74" s="1" t="s">
        <v>33</v>
      </c>
      <c r="E74" s="1" t="s">
        <v>34</v>
      </c>
      <c r="F74" s="1">
        <v>4126</v>
      </c>
      <c r="G74" s="1">
        <v>426</v>
      </c>
      <c r="H74" s="1">
        <v>486</v>
      </c>
      <c r="I74" s="1">
        <v>78394</v>
      </c>
      <c r="J74" s="1">
        <v>77798</v>
      </c>
      <c r="K74" s="1">
        <v>88</v>
      </c>
      <c r="L74" s="1" t="s">
        <v>24</v>
      </c>
      <c r="M74" s="1" t="s">
        <v>19</v>
      </c>
    </row>
    <row r="75" spans="1:13" ht="14.25" customHeight="1">
      <c r="A75" s="1" t="s">
        <v>196</v>
      </c>
      <c r="B75" s="1" t="s">
        <v>27</v>
      </c>
      <c r="C75" s="1" t="s">
        <v>197</v>
      </c>
      <c r="D75" s="1" t="s">
        <v>16</v>
      </c>
      <c r="E75" s="1" t="s">
        <v>17</v>
      </c>
      <c r="F75" s="1">
        <v>1855</v>
      </c>
      <c r="G75" s="1">
        <v>200</v>
      </c>
      <c r="H75" s="1">
        <v>174</v>
      </c>
      <c r="I75" s="1">
        <v>16695</v>
      </c>
      <c r="J75" s="1">
        <v>16330</v>
      </c>
      <c r="K75" s="1">
        <v>123</v>
      </c>
      <c r="L75" s="1" t="s">
        <v>24</v>
      </c>
      <c r="M75" s="1" t="s">
        <v>38</v>
      </c>
    </row>
    <row r="76" spans="1:13" ht="14.25" customHeight="1">
      <c r="A76" s="1" t="s">
        <v>198</v>
      </c>
      <c r="B76" s="1" t="s">
        <v>31</v>
      </c>
      <c r="C76" s="1" t="s">
        <v>199</v>
      </c>
      <c r="D76" s="1" t="s">
        <v>16</v>
      </c>
      <c r="E76" s="1" t="s">
        <v>17</v>
      </c>
      <c r="F76" s="1">
        <v>1674</v>
      </c>
      <c r="G76" s="1">
        <v>929</v>
      </c>
      <c r="H76" s="1">
        <v>37</v>
      </c>
      <c r="I76" s="1">
        <v>21762</v>
      </c>
      <c r="J76" s="1">
        <v>20998</v>
      </c>
      <c r="K76" s="1">
        <v>255</v>
      </c>
      <c r="L76" s="1" t="s">
        <v>162</v>
      </c>
      <c r="M76" s="1" t="s">
        <v>38</v>
      </c>
    </row>
    <row r="77" spans="1:13" ht="14.25" customHeight="1">
      <c r="A77" s="1" t="s">
        <v>200</v>
      </c>
      <c r="B77" s="1" t="s">
        <v>14</v>
      </c>
      <c r="C77" s="1" t="s">
        <v>201</v>
      </c>
      <c r="D77" s="1" t="s">
        <v>33</v>
      </c>
      <c r="E77" s="1" t="s">
        <v>34</v>
      </c>
      <c r="F77" s="1">
        <v>1121</v>
      </c>
      <c r="G77" s="1">
        <v>135</v>
      </c>
      <c r="H77" s="1">
        <v>18</v>
      </c>
      <c r="I77" s="1">
        <v>15694</v>
      </c>
      <c r="J77" s="1">
        <v>14957</v>
      </c>
      <c r="K77" s="1">
        <v>99</v>
      </c>
      <c r="L77" s="1" t="s">
        <v>66</v>
      </c>
      <c r="M77" s="1" t="s">
        <v>55</v>
      </c>
    </row>
    <row r="78" spans="1:13" ht="14.25" customHeight="1">
      <c r="A78" s="1" t="s">
        <v>202</v>
      </c>
      <c r="B78" s="1" t="s">
        <v>40</v>
      </c>
      <c r="C78" s="1" t="s">
        <v>101</v>
      </c>
      <c r="D78" s="1" t="s">
        <v>33</v>
      </c>
      <c r="E78" s="1" t="s">
        <v>34</v>
      </c>
      <c r="F78" s="1">
        <v>1249</v>
      </c>
      <c r="G78" s="1">
        <v>116</v>
      </c>
      <c r="H78" s="1">
        <v>420</v>
      </c>
      <c r="I78" s="1">
        <v>8743</v>
      </c>
      <c r="J78" s="1">
        <v>8538</v>
      </c>
      <c r="K78" s="1">
        <v>63</v>
      </c>
      <c r="L78" s="1" t="s">
        <v>71</v>
      </c>
      <c r="M78" s="1" t="s">
        <v>38</v>
      </c>
    </row>
    <row r="79" spans="1:13" ht="14.25" customHeight="1">
      <c r="A79" s="1" t="s">
        <v>203</v>
      </c>
      <c r="B79" s="1" t="s">
        <v>14</v>
      </c>
      <c r="C79" s="1" t="s">
        <v>159</v>
      </c>
      <c r="D79" s="1" t="s">
        <v>49</v>
      </c>
      <c r="E79" s="1" t="s">
        <v>50</v>
      </c>
      <c r="F79" s="1">
        <v>954</v>
      </c>
      <c r="G79" s="1">
        <v>324</v>
      </c>
      <c r="H79" s="1">
        <v>288</v>
      </c>
      <c r="I79" s="1">
        <v>19080</v>
      </c>
      <c r="J79" s="1">
        <v>18859</v>
      </c>
      <c r="K79" s="1">
        <v>21</v>
      </c>
      <c r="L79" s="1" t="s">
        <v>44</v>
      </c>
      <c r="M79" s="1" t="s">
        <v>38</v>
      </c>
    </row>
    <row r="80" spans="1:13" ht="14.25" customHeight="1">
      <c r="A80" s="1" t="s">
        <v>204</v>
      </c>
      <c r="B80" s="1" t="s">
        <v>31</v>
      </c>
      <c r="C80" s="1" t="s">
        <v>205</v>
      </c>
      <c r="D80" s="1" t="s">
        <v>42</v>
      </c>
      <c r="E80" s="1" t="s">
        <v>43</v>
      </c>
      <c r="F80" s="1">
        <v>3068</v>
      </c>
      <c r="G80" s="1">
        <v>137</v>
      </c>
      <c r="H80" s="1">
        <v>329</v>
      </c>
      <c r="I80" s="1">
        <v>39884</v>
      </c>
      <c r="J80" s="1">
        <v>39404</v>
      </c>
      <c r="K80" s="1">
        <v>266</v>
      </c>
      <c r="L80" s="1" t="s">
        <v>102</v>
      </c>
      <c r="M80" s="1" t="s">
        <v>38</v>
      </c>
    </row>
    <row r="81" spans="1:13" ht="14.25" customHeight="1">
      <c r="A81" s="1" t="s">
        <v>206</v>
      </c>
      <c r="B81" s="1" t="s">
        <v>31</v>
      </c>
      <c r="C81" s="1" t="s">
        <v>152</v>
      </c>
      <c r="D81" s="1" t="s">
        <v>33</v>
      </c>
      <c r="E81" s="1" t="s">
        <v>34</v>
      </c>
      <c r="F81" s="1">
        <v>2103</v>
      </c>
      <c r="G81" s="1">
        <v>892</v>
      </c>
      <c r="H81" s="1">
        <v>103</v>
      </c>
      <c r="I81" s="1">
        <v>39957</v>
      </c>
      <c r="J81" s="1">
        <v>39466</v>
      </c>
      <c r="K81" s="1">
        <v>28</v>
      </c>
      <c r="L81" s="1" t="s">
        <v>144</v>
      </c>
      <c r="M81" s="1" t="s">
        <v>25</v>
      </c>
    </row>
    <row r="82" spans="1:13" ht="14.25" customHeight="1">
      <c r="A82" s="1" t="s">
        <v>207</v>
      </c>
      <c r="B82" s="1" t="s">
        <v>31</v>
      </c>
      <c r="C82" s="1" t="s">
        <v>208</v>
      </c>
      <c r="D82" s="1" t="s">
        <v>33</v>
      </c>
      <c r="E82" s="1" t="s">
        <v>34</v>
      </c>
      <c r="F82" s="1">
        <v>1816</v>
      </c>
      <c r="G82" s="1">
        <v>29</v>
      </c>
      <c r="H82" s="1">
        <v>41</v>
      </c>
      <c r="I82" s="1">
        <v>19976</v>
      </c>
      <c r="J82" s="1">
        <v>19262</v>
      </c>
      <c r="K82" s="1">
        <v>283</v>
      </c>
      <c r="L82" s="1" t="s">
        <v>209</v>
      </c>
      <c r="M82" s="1" t="s">
        <v>38</v>
      </c>
    </row>
    <row r="83" spans="1:13" ht="14.25" customHeight="1">
      <c r="A83" s="1" t="s">
        <v>210</v>
      </c>
      <c r="B83" s="1" t="s">
        <v>31</v>
      </c>
      <c r="C83" s="1" t="s">
        <v>211</v>
      </c>
      <c r="D83" s="1" t="s">
        <v>49</v>
      </c>
      <c r="E83" s="1" t="s">
        <v>50</v>
      </c>
      <c r="F83" s="1">
        <v>725</v>
      </c>
      <c r="G83" s="1">
        <v>88</v>
      </c>
      <c r="H83" s="1">
        <v>428</v>
      </c>
      <c r="I83" s="1">
        <v>14500</v>
      </c>
      <c r="J83" s="1">
        <v>13637</v>
      </c>
      <c r="K83" s="1">
        <v>200</v>
      </c>
      <c r="L83" s="1" t="s">
        <v>44</v>
      </c>
      <c r="M83" s="1" t="s">
        <v>38</v>
      </c>
    </row>
    <row r="84" spans="1:13" ht="14.25" customHeight="1">
      <c r="A84" s="1" t="s">
        <v>212</v>
      </c>
      <c r="B84" s="1" t="s">
        <v>27</v>
      </c>
      <c r="C84" s="1" t="s">
        <v>213</v>
      </c>
      <c r="D84" s="1" t="s">
        <v>69</v>
      </c>
      <c r="E84" s="1" t="s">
        <v>70</v>
      </c>
      <c r="F84" s="1">
        <v>1094</v>
      </c>
      <c r="G84" s="1">
        <v>472</v>
      </c>
      <c r="H84" s="1">
        <v>21</v>
      </c>
      <c r="I84" s="1">
        <v>9846</v>
      </c>
      <c r="J84" s="1">
        <v>9609</v>
      </c>
      <c r="K84" s="1">
        <v>112</v>
      </c>
      <c r="L84" s="1" t="s">
        <v>214</v>
      </c>
      <c r="M84" s="1" t="s">
        <v>38</v>
      </c>
    </row>
    <row r="85" spans="1:13" ht="14.25" customHeight="1">
      <c r="A85" s="1" t="s">
        <v>215</v>
      </c>
      <c r="B85" s="1" t="s">
        <v>40</v>
      </c>
      <c r="C85" s="1" t="s">
        <v>216</v>
      </c>
      <c r="D85" s="1" t="s">
        <v>49</v>
      </c>
      <c r="E85" s="1" t="s">
        <v>50</v>
      </c>
      <c r="F85" s="1">
        <v>1841</v>
      </c>
      <c r="G85" s="1">
        <v>851</v>
      </c>
      <c r="H85" s="1">
        <v>342</v>
      </c>
      <c r="I85" s="1">
        <v>34979</v>
      </c>
      <c r="J85" s="1">
        <v>34154</v>
      </c>
      <c r="K85" s="1">
        <v>255</v>
      </c>
      <c r="L85" s="1" t="s">
        <v>71</v>
      </c>
      <c r="M85" s="1" t="s">
        <v>19</v>
      </c>
    </row>
    <row r="86" spans="1:13" ht="14.25" customHeight="1">
      <c r="A86" s="1" t="s">
        <v>217</v>
      </c>
      <c r="B86" s="1" t="s">
        <v>31</v>
      </c>
      <c r="C86" s="1" t="s">
        <v>120</v>
      </c>
      <c r="D86" s="1" t="s">
        <v>49</v>
      </c>
      <c r="E86" s="1" t="s">
        <v>50</v>
      </c>
      <c r="F86" s="1">
        <v>4177</v>
      </c>
      <c r="G86" s="1">
        <v>569</v>
      </c>
      <c r="H86" s="1">
        <v>55</v>
      </c>
      <c r="I86" s="1">
        <v>25062</v>
      </c>
      <c r="J86" s="1">
        <v>24847</v>
      </c>
      <c r="K86" s="1">
        <v>230</v>
      </c>
      <c r="L86" s="1" t="s">
        <v>24</v>
      </c>
      <c r="M86" s="1" t="s">
        <v>19</v>
      </c>
    </row>
    <row r="87" spans="1:13" ht="14.25" customHeight="1">
      <c r="A87" s="1" t="s">
        <v>218</v>
      </c>
      <c r="B87" s="1" t="s">
        <v>27</v>
      </c>
      <c r="C87" s="1" t="s">
        <v>219</v>
      </c>
      <c r="D87" s="1" t="s">
        <v>22</v>
      </c>
      <c r="E87" s="1" t="s">
        <v>23</v>
      </c>
      <c r="F87" s="1">
        <v>3428</v>
      </c>
      <c r="G87" s="1">
        <v>305</v>
      </c>
      <c r="H87" s="1">
        <v>85</v>
      </c>
      <c r="I87" s="1">
        <v>58276</v>
      </c>
      <c r="J87" s="1">
        <v>58052</v>
      </c>
      <c r="K87" s="1">
        <v>242</v>
      </c>
      <c r="L87" s="1" t="s">
        <v>214</v>
      </c>
      <c r="M87" s="1" t="s">
        <v>38</v>
      </c>
    </row>
    <row r="88" spans="1:13" ht="14.25" customHeight="1">
      <c r="A88" s="1" t="s">
        <v>220</v>
      </c>
      <c r="B88" s="1" t="s">
        <v>14</v>
      </c>
      <c r="C88" s="1" t="s">
        <v>221</v>
      </c>
      <c r="D88" s="1" t="s">
        <v>69</v>
      </c>
      <c r="E88" s="1" t="s">
        <v>70</v>
      </c>
      <c r="F88" s="1">
        <v>1436</v>
      </c>
      <c r="G88" s="1">
        <v>765</v>
      </c>
      <c r="H88" s="1">
        <v>496</v>
      </c>
      <c r="I88" s="1">
        <v>12924</v>
      </c>
      <c r="J88" s="1">
        <v>12701</v>
      </c>
      <c r="K88" s="1">
        <v>197</v>
      </c>
      <c r="L88" s="1" t="s">
        <v>209</v>
      </c>
      <c r="M88" s="1" t="s">
        <v>25</v>
      </c>
    </row>
    <row r="89" spans="1:13" ht="14.25" customHeight="1">
      <c r="A89" s="1" t="s">
        <v>222</v>
      </c>
      <c r="B89" s="1" t="s">
        <v>40</v>
      </c>
      <c r="C89" s="1" t="s">
        <v>223</v>
      </c>
      <c r="D89" s="1" t="s">
        <v>33</v>
      </c>
      <c r="E89" s="1" t="s">
        <v>34</v>
      </c>
      <c r="F89" s="1">
        <v>302</v>
      </c>
      <c r="G89" s="1">
        <v>47</v>
      </c>
      <c r="H89" s="1">
        <v>430</v>
      </c>
      <c r="I89" s="1">
        <v>5738</v>
      </c>
      <c r="J89" s="1">
        <v>4890</v>
      </c>
      <c r="K89" s="1">
        <v>25</v>
      </c>
      <c r="L89" s="1" t="s">
        <v>29</v>
      </c>
      <c r="M89" s="1" t="s">
        <v>25</v>
      </c>
    </row>
    <row r="90" spans="1:13" ht="14.25" customHeight="1">
      <c r="A90" s="1" t="s">
        <v>224</v>
      </c>
      <c r="B90" s="1" t="s">
        <v>14</v>
      </c>
      <c r="C90" s="1" t="s">
        <v>225</v>
      </c>
      <c r="D90" s="1" t="s">
        <v>49</v>
      </c>
      <c r="E90" s="1" t="s">
        <v>50</v>
      </c>
      <c r="F90" s="1">
        <v>2214</v>
      </c>
      <c r="G90" s="1">
        <v>249</v>
      </c>
      <c r="H90" s="1">
        <v>152</v>
      </c>
      <c r="I90" s="1">
        <v>15498</v>
      </c>
      <c r="J90" s="1">
        <v>14800</v>
      </c>
      <c r="K90" s="1">
        <v>180</v>
      </c>
      <c r="L90" s="1" t="s">
        <v>18</v>
      </c>
      <c r="M90" s="1" t="s">
        <v>25</v>
      </c>
    </row>
    <row r="91" spans="1:13" ht="14.25" customHeight="1">
      <c r="A91" s="1" t="s">
        <v>226</v>
      </c>
      <c r="B91" s="1" t="s">
        <v>31</v>
      </c>
      <c r="C91" s="1" t="s">
        <v>227</v>
      </c>
      <c r="D91" s="1" t="s">
        <v>49</v>
      </c>
      <c r="E91" s="1" t="s">
        <v>50</v>
      </c>
      <c r="F91" s="1">
        <v>3861</v>
      </c>
      <c r="G91" s="1">
        <v>960</v>
      </c>
      <c r="H91" s="1">
        <v>101</v>
      </c>
      <c r="I91" s="1">
        <v>69498</v>
      </c>
      <c r="J91" s="1">
        <v>68817</v>
      </c>
      <c r="K91" s="1">
        <v>297</v>
      </c>
      <c r="L91" s="1" t="s">
        <v>24</v>
      </c>
      <c r="M91" s="1" t="s">
        <v>25</v>
      </c>
    </row>
    <row r="92" spans="1:13" ht="14.25" customHeight="1">
      <c r="A92" s="1" t="s">
        <v>228</v>
      </c>
      <c r="B92" s="1" t="s">
        <v>40</v>
      </c>
      <c r="C92" s="1" t="s">
        <v>229</v>
      </c>
      <c r="D92" s="1" t="s">
        <v>49</v>
      </c>
      <c r="E92" s="1" t="s">
        <v>50</v>
      </c>
      <c r="F92" s="1">
        <v>1263</v>
      </c>
      <c r="G92" s="1">
        <v>397</v>
      </c>
      <c r="H92" s="1">
        <v>357</v>
      </c>
      <c r="I92" s="1">
        <v>25260</v>
      </c>
      <c r="J92" s="1">
        <v>24615</v>
      </c>
      <c r="K92" s="1">
        <v>137</v>
      </c>
      <c r="L92" s="1" t="s">
        <v>18</v>
      </c>
      <c r="M92" s="1" t="s">
        <v>25</v>
      </c>
    </row>
    <row r="93" spans="1:13" ht="14.25" customHeight="1">
      <c r="A93" s="1" t="s">
        <v>230</v>
      </c>
      <c r="B93" s="1" t="s">
        <v>14</v>
      </c>
      <c r="C93" s="1" t="s">
        <v>164</v>
      </c>
      <c r="D93" s="1" t="s">
        <v>33</v>
      </c>
      <c r="E93" s="1" t="s">
        <v>34</v>
      </c>
      <c r="F93" s="1">
        <v>3801</v>
      </c>
      <c r="G93" s="1">
        <v>967</v>
      </c>
      <c r="H93" s="1">
        <v>401</v>
      </c>
      <c r="I93" s="1">
        <v>38010</v>
      </c>
      <c r="J93" s="1">
        <v>37625</v>
      </c>
      <c r="K93" s="1">
        <v>236</v>
      </c>
      <c r="L93" s="1" t="s">
        <v>58</v>
      </c>
      <c r="M93" s="1" t="s">
        <v>55</v>
      </c>
    </row>
    <row r="94" spans="1:13" ht="14.25" customHeight="1">
      <c r="A94" s="1" t="s">
        <v>231</v>
      </c>
      <c r="B94" s="1" t="s">
        <v>31</v>
      </c>
      <c r="C94" s="1" t="s">
        <v>232</v>
      </c>
      <c r="D94" s="1" t="s">
        <v>69</v>
      </c>
      <c r="E94" s="1" t="s">
        <v>70</v>
      </c>
      <c r="F94" s="1">
        <v>1431</v>
      </c>
      <c r="G94" s="1">
        <v>951</v>
      </c>
      <c r="H94" s="1">
        <v>26</v>
      </c>
      <c r="I94" s="1">
        <v>8586</v>
      </c>
      <c r="J94" s="1">
        <v>8396</v>
      </c>
      <c r="K94" s="1">
        <v>150</v>
      </c>
      <c r="L94" s="1" t="s">
        <v>116</v>
      </c>
      <c r="M94" s="1" t="s">
        <v>19</v>
      </c>
    </row>
    <row r="95" spans="1:13" ht="14.25" customHeight="1">
      <c r="A95" s="1" t="s">
        <v>233</v>
      </c>
      <c r="B95" s="1" t="s">
        <v>31</v>
      </c>
      <c r="C95" s="1" t="s">
        <v>201</v>
      </c>
      <c r="D95" s="1" t="s">
        <v>49</v>
      </c>
      <c r="E95" s="1" t="s">
        <v>50</v>
      </c>
      <c r="F95" s="1">
        <v>2647</v>
      </c>
      <c r="G95" s="1">
        <v>304</v>
      </c>
      <c r="H95" s="1">
        <v>170</v>
      </c>
      <c r="I95" s="1">
        <v>18529</v>
      </c>
      <c r="J95" s="1">
        <v>17841</v>
      </c>
      <c r="K95" s="1">
        <v>46</v>
      </c>
      <c r="L95" s="1" t="s">
        <v>58</v>
      </c>
      <c r="M95" s="1" t="s">
        <v>25</v>
      </c>
    </row>
    <row r="96" spans="1:13" ht="14.25" customHeight="1">
      <c r="A96" s="1" t="s">
        <v>234</v>
      </c>
      <c r="B96" s="1" t="s">
        <v>31</v>
      </c>
      <c r="C96" s="1" t="s">
        <v>235</v>
      </c>
      <c r="D96" s="1" t="s">
        <v>22</v>
      </c>
      <c r="E96" s="1" t="s">
        <v>23</v>
      </c>
      <c r="F96" s="1">
        <v>3182</v>
      </c>
      <c r="G96" s="1">
        <v>559</v>
      </c>
      <c r="H96" s="1">
        <v>160</v>
      </c>
      <c r="I96" s="1">
        <v>57276</v>
      </c>
      <c r="J96" s="1">
        <v>56890</v>
      </c>
      <c r="K96" s="1">
        <v>163</v>
      </c>
      <c r="L96" s="1" t="s">
        <v>87</v>
      </c>
      <c r="M96" s="1" t="s">
        <v>25</v>
      </c>
    </row>
    <row r="97" spans="1:13" ht="14.25" customHeight="1">
      <c r="A97" s="1" t="s">
        <v>236</v>
      </c>
      <c r="B97" s="1" t="s">
        <v>14</v>
      </c>
      <c r="C97" s="1" t="s">
        <v>237</v>
      </c>
      <c r="D97" s="1" t="s">
        <v>49</v>
      </c>
      <c r="E97" s="1" t="s">
        <v>50</v>
      </c>
      <c r="F97" s="1">
        <v>1238</v>
      </c>
      <c r="G97" s="1">
        <v>366</v>
      </c>
      <c r="H97" s="1">
        <v>444</v>
      </c>
      <c r="I97" s="1">
        <v>19808</v>
      </c>
      <c r="J97" s="1">
        <v>19334</v>
      </c>
      <c r="K97" s="1">
        <v>123</v>
      </c>
      <c r="L97" s="1" t="s">
        <v>77</v>
      </c>
      <c r="M97" s="1" t="s">
        <v>38</v>
      </c>
    </row>
    <row r="98" spans="1:13" ht="14.25" customHeight="1">
      <c r="A98" s="1" t="s">
        <v>238</v>
      </c>
      <c r="B98" s="1" t="s">
        <v>31</v>
      </c>
      <c r="C98" s="1" t="s">
        <v>239</v>
      </c>
      <c r="D98" s="1" t="s">
        <v>49</v>
      </c>
      <c r="E98" s="1" t="s">
        <v>50</v>
      </c>
      <c r="F98" s="1">
        <v>4739</v>
      </c>
      <c r="G98" s="1">
        <v>527</v>
      </c>
      <c r="H98" s="1">
        <v>135</v>
      </c>
      <c r="I98" s="1">
        <v>61607</v>
      </c>
      <c r="J98" s="1">
        <v>61333</v>
      </c>
      <c r="K98" s="1">
        <v>36</v>
      </c>
      <c r="L98" s="1" t="s">
        <v>61</v>
      </c>
      <c r="M98" s="1" t="s">
        <v>25</v>
      </c>
    </row>
    <row r="99" spans="1:13" ht="14.25" customHeight="1">
      <c r="A99" s="1" t="s">
        <v>240</v>
      </c>
      <c r="B99" s="1" t="s">
        <v>14</v>
      </c>
      <c r="C99" s="1" t="s">
        <v>148</v>
      </c>
      <c r="D99" s="1" t="s">
        <v>33</v>
      </c>
      <c r="E99" s="1" t="s">
        <v>34</v>
      </c>
      <c r="F99" s="1">
        <v>1575</v>
      </c>
      <c r="G99" s="1">
        <v>771</v>
      </c>
      <c r="H99" s="1">
        <v>486</v>
      </c>
      <c r="I99" s="1">
        <v>25200</v>
      </c>
      <c r="J99" s="1">
        <v>24826</v>
      </c>
      <c r="K99" s="1">
        <v>17</v>
      </c>
      <c r="L99" s="1" t="s">
        <v>58</v>
      </c>
      <c r="M99" s="1" t="s">
        <v>38</v>
      </c>
    </row>
    <row r="100" spans="1:13" ht="14.25" customHeight="1">
      <c r="A100" s="1" t="s">
        <v>241</v>
      </c>
      <c r="B100" s="1" t="s">
        <v>27</v>
      </c>
      <c r="C100" s="1" t="s">
        <v>242</v>
      </c>
      <c r="D100" s="1" t="s">
        <v>42</v>
      </c>
      <c r="E100" s="1" t="s">
        <v>43</v>
      </c>
      <c r="F100" s="1">
        <v>4171</v>
      </c>
      <c r="G100" s="1">
        <v>548</v>
      </c>
      <c r="H100" s="1">
        <v>86</v>
      </c>
      <c r="I100" s="1">
        <v>66736</v>
      </c>
      <c r="J100" s="1">
        <v>66634</v>
      </c>
      <c r="K100" s="1">
        <v>173</v>
      </c>
      <c r="L100" s="1" t="s">
        <v>58</v>
      </c>
      <c r="M100" s="1" t="s">
        <v>38</v>
      </c>
    </row>
    <row r="101" spans="1:13" ht="14.25" customHeight="1">
      <c r="A101" s="1" t="s">
        <v>243</v>
      </c>
      <c r="B101" s="1" t="s">
        <v>27</v>
      </c>
      <c r="C101" s="1" t="s">
        <v>244</v>
      </c>
      <c r="D101" s="1" t="s">
        <v>69</v>
      </c>
      <c r="E101" s="1" t="s">
        <v>70</v>
      </c>
      <c r="F101" s="1">
        <v>1766</v>
      </c>
      <c r="G101" s="1">
        <v>92</v>
      </c>
      <c r="H101" s="1">
        <v>424</v>
      </c>
      <c r="I101" s="1">
        <v>24724</v>
      </c>
      <c r="J101" s="1">
        <v>24333</v>
      </c>
      <c r="K101" s="1">
        <v>52</v>
      </c>
      <c r="L101" s="1" t="s">
        <v>58</v>
      </c>
      <c r="M101" s="1" t="s">
        <v>19</v>
      </c>
    </row>
    <row r="102" spans="1:13" ht="14.25" customHeight="1">
      <c r="A102" s="1" t="s">
        <v>245</v>
      </c>
      <c r="B102" s="1" t="s">
        <v>27</v>
      </c>
      <c r="C102" s="1" t="s">
        <v>195</v>
      </c>
      <c r="D102" s="1" t="s">
        <v>69</v>
      </c>
      <c r="E102" s="1" t="s">
        <v>70</v>
      </c>
      <c r="F102" s="1">
        <v>4450</v>
      </c>
      <c r="G102" s="1">
        <v>983</v>
      </c>
      <c r="H102" s="1">
        <v>143</v>
      </c>
      <c r="I102" s="1">
        <v>75650</v>
      </c>
      <c r="J102" s="1">
        <v>75008</v>
      </c>
      <c r="K102" s="1">
        <v>12</v>
      </c>
      <c r="L102" s="1" t="s">
        <v>82</v>
      </c>
      <c r="M102" s="1" t="s">
        <v>25</v>
      </c>
    </row>
    <row r="103" spans="1:13" ht="14.25" customHeight="1">
      <c r="A103" s="1" t="s">
        <v>246</v>
      </c>
      <c r="B103" s="1" t="s">
        <v>14</v>
      </c>
      <c r="C103" s="1" t="s">
        <v>247</v>
      </c>
      <c r="D103" s="1" t="s">
        <v>16</v>
      </c>
      <c r="E103" s="1" t="s">
        <v>17</v>
      </c>
      <c r="F103" s="1">
        <v>1000</v>
      </c>
      <c r="G103" s="1">
        <v>978</v>
      </c>
      <c r="H103" s="1">
        <v>162</v>
      </c>
      <c r="I103" s="1">
        <v>6000</v>
      </c>
      <c r="J103" s="1">
        <v>5221</v>
      </c>
      <c r="K103" s="1">
        <v>223</v>
      </c>
      <c r="L103" s="1" t="s">
        <v>105</v>
      </c>
      <c r="M103" s="1" t="s">
        <v>38</v>
      </c>
    </row>
    <row r="104" spans="1:13" ht="14.25" customHeight="1">
      <c r="A104" s="1" t="s">
        <v>248</v>
      </c>
      <c r="B104" s="1" t="s">
        <v>40</v>
      </c>
      <c r="C104" s="1" t="s">
        <v>249</v>
      </c>
      <c r="D104" s="1" t="s">
        <v>49</v>
      </c>
      <c r="E104" s="1" t="s">
        <v>50</v>
      </c>
      <c r="F104" s="1">
        <v>3689</v>
      </c>
      <c r="G104" s="1">
        <v>48</v>
      </c>
      <c r="H104" s="1">
        <v>306</v>
      </c>
      <c r="I104" s="1">
        <v>40579</v>
      </c>
      <c r="J104" s="1">
        <v>39588</v>
      </c>
      <c r="K104" s="1">
        <v>212</v>
      </c>
      <c r="L104" s="1" t="s">
        <v>44</v>
      </c>
      <c r="M104" s="1" t="s">
        <v>19</v>
      </c>
    </row>
    <row r="105" spans="1:13" ht="14.25" customHeight="1">
      <c r="A105" s="1" t="s">
        <v>250</v>
      </c>
      <c r="B105" s="1" t="s">
        <v>27</v>
      </c>
      <c r="C105" s="1" t="s">
        <v>251</v>
      </c>
      <c r="D105" s="1" t="s">
        <v>33</v>
      </c>
      <c r="E105" s="1" t="s">
        <v>34</v>
      </c>
      <c r="F105" s="1">
        <v>3655</v>
      </c>
      <c r="G105" s="1">
        <v>568</v>
      </c>
      <c r="H105" s="1">
        <v>286</v>
      </c>
      <c r="I105" s="1">
        <v>32895</v>
      </c>
      <c r="J105" s="1">
        <v>32015</v>
      </c>
      <c r="K105" s="1">
        <v>199</v>
      </c>
      <c r="L105" s="1" t="s">
        <v>44</v>
      </c>
      <c r="M105" s="1" t="s">
        <v>55</v>
      </c>
    </row>
    <row r="106" spans="1:13" ht="14.25" customHeight="1">
      <c r="A106" s="1" t="s">
        <v>252</v>
      </c>
      <c r="B106" s="1" t="s">
        <v>31</v>
      </c>
      <c r="C106" s="1" t="s">
        <v>253</v>
      </c>
      <c r="D106" s="1" t="s">
        <v>42</v>
      </c>
      <c r="E106" s="1" t="s">
        <v>43</v>
      </c>
      <c r="F106" s="1">
        <v>498</v>
      </c>
      <c r="G106" s="1">
        <v>38</v>
      </c>
      <c r="H106" s="1">
        <v>42</v>
      </c>
      <c r="I106" s="1">
        <v>4482</v>
      </c>
      <c r="J106" s="1">
        <v>3647</v>
      </c>
      <c r="K106" s="1">
        <v>32</v>
      </c>
      <c r="L106" s="1" t="s">
        <v>162</v>
      </c>
      <c r="M106" s="1" t="s">
        <v>55</v>
      </c>
    </row>
    <row r="107" spans="1:13" ht="14.25" customHeight="1">
      <c r="A107" s="1" t="s">
        <v>254</v>
      </c>
      <c r="B107" s="1" t="s">
        <v>31</v>
      </c>
      <c r="C107" s="1" t="s">
        <v>255</v>
      </c>
      <c r="D107" s="1" t="s">
        <v>49</v>
      </c>
      <c r="E107" s="1" t="s">
        <v>50</v>
      </c>
      <c r="F107" s="1">
        <v>4619</v>
      </c>
      <c r="G107" s="1">
        <v>821</v>
      </c>
      <c r="H107" s="1">
        <v>499</v>
      </c>
      <c r="I107" s="1">
        <v>69285</v>
      </c>
      <c r="J107" s="1">
        <v>69141</v>
      </c>
      <c r="K107" s="1">
        <v>298</v>
      </c>
      <c r="L107" s="1" t="s">
        <v>24</v>
      </c>
      <c r="M107" s="1" t="s">
        <v>19</v>
      </c>
    </row>
    <row r="108" spans="1:13" ht="14.25" customHeight="1">
      <c r="A108" s="1" t="s">
        <v>256</v>
      </c>
      <c r="B108" s="1" t="s">
        <v>27</v>
      </c>
      <c r="C108" s="1" t="s">
        <v>257</v>
      </c>
      <c r="D108" s="1" t="s">
        <v>49</v>
      </c>
      <c r="E108" s="1" t="s">
        <v>50</v>
      </c>
      <c r="F108" s="1">
        <v>4832</v>
      </c>
      <c r="G108" s="1">
        <v>893</v>
      </c>
      <c r="H108" s="1">
        <v>10</v>
      </c>
      <c r="I108" s="1">
        <v>91808</v>
      </c>
      <c r="J108" s="1">
        <v>91296</v>
      </c>
      <c r="K108" s="1">
        <v>182</v>
      </c>
      <c r="L108" s="1" t="s">
        <v>82</v>
      </c>
      <c r="M108" s="1" t="s">
        <v>38</v>
      </c>
    </row>
    <row r="109" spans="1:13" ht="14.25" customHeight="1">
      <c r="A109" s="1" t="s">
        <v>258</v>
      </c>
      <c r="B109" s="1" t="s">
        <v>14</v>
      </c>
      <c r="C109" s="1" t="s">
        <v>259</v>
      </c>
      <c r="D109" s="1" t="s">
        <v>69</v>
      </c>
      <c r="E109" s="1" t="s">
        <v>70</v>
      </c>
      <c r="F109" s="1">
        <v>4050</v>
      </c>
      <c r="G109" s="1">
        <v>871</v>
      </c>
      <c r="H109" s="1">
        <v>347</v>
      </c>
      <c r="I109" s="1">
        <v>52650</v>
      </c>
      <c r="J109" s="1">
        <v>51755</v>
      </c>
      <c r="K109" s="1">
        <v>209</v>
      </c>
      <c r="L109" s="1" t="s">
        <v>162</v>
      </c>
      <c r="M109" s="1" t="s">
        <v>19</v>
      </c>
    </row>
    <row r="110" spans="1:13" ht="14.25" customHeight="1">
      <c r="A110" s="1" t="s">
        <v>260</v>
      </c>
      <c r="B110" s="1" t="s">
        <v>14</v>
      </c>
      <c r="C110" s="1" t="s">
        <v>261</v>
      </c>
      <c r="D110" s="1" t="s">
        <v>33</v>
      </c>
      <c r="E110" s="1" t="s">
        <v>34</v>
      </c>
      <c r="F110" s="1">
        <v>3649</v>
      </c>
      <c r="G110" s="1">
        <v>215</v>
      </c>
      <c r="H110" s="1">
        <v>413</v>
      </c>
      <c r="I110" s="1">
        <v>25543</v>
      </c>
      <c r="J110" s="1">
        <v>24963</v>
      </c>
      <c r="K110" s="1">
        <v>167</v>
      </c>
      <c r="L110" s="1" t="s">
        <v>146</v>
      </c>
      <c r="M110" s="1" t="s">
        <v>19</v>
      </c>
    </row>
    <row r="111" spans="1:13" ht="14.25" customHeight="1">
      <c r="A111" s="1" t="s">
        <v>262</v>
      </c>
      <c r="B111" s="1" t="s">
        <v>31</v>
      </c>
      <c r="C111" s="1" t="s">
        <v>263</v>
      </c>
      <c r="D111" s="1" t="s">
        <v>16</v>
      </c>
      <c r="E111" s="1" t="s">
        <v>17</v>
      </c>
      <c r="F111" s="1">
        <v>3523</v>
      </c>
      <c r="G111" s="1">
        <v>753</v>
      </c>
      <c r="H111" s="1">
        <v>482</v>
      </c>
      <c r="I111" s="1">
        <v>38753</v>
      </c>
      <c r="J111" s="1">
        <v>38579</v>
      </c>
      <c r="K111" s="1">
        <v>270</v>
      </c>
      <c r="L111" s="1" t="s">
        <v>264</v>
      </c>
      <c r="M111" s="1" t="s">
        <v>25</v>
      </c>
    </row>
    <row r="112" spans="1:13" ht="14.25" customHeight="1">
      <c r="A112" s="1" t="s">
        <v>265</v>
      </c>
      <c r="B112" s="1" t="s">
        <v>27</v>
      </c>
      <c r="C112" s="1" t="s">
        <v>266</v>
      </c>
      <c r="D112" s="1" t="s">
        <v>49</v>
      </c>
      <c r="E112" s="1" t="s">
        <v>50</v>
      </c>
      <c r="F112" s="1">
        <v>2719</v>
      </c>
      <c r="G112" s="1">
        <v>17</v>
      </c>
      <c r="H112" s="1">
        <v>285</v>
      </c>
      <c r="I112" s="1">
        <v>40785</v>
      </c>
      <c r="J112" s="1">
        <v>40281</v>
      </c>
      <c r="K112" s="1">
        <v>40</v>
      </c>
      <c r="L112" s="1" t="s">
        <v>146</v>
      </c>
      <c r="M112" s="1" t="s">
        <v>38</v>
      </c>
    </row>
    <row r="113" spans="1:13" ht="14.25" customHeight="1">
      <c r="A113" s="1" t="s">
        <v>267</v>
      </c>
      <c r="B113" s="1" t="s">
        <v>14</v>
      </c>
      <c r="C113" s="1" t="s">
        <v>268</v>
      </c>
      <c r="D113" s="1" t="s">
        <v>33</v>
      </c>
      <c r="E113" s="1" t="s">
        <v>34</v>
      </c>
      <c r="F113" s="1">
        <v>1957</v>
      </c>
      <c r="G113" s="1">
        <v>877</v>
      </c>
      <c r="H113" s="1">
        <v>238</v>
      </c>
      <c r="I113" s="1">
        <v>17613</v>
      </c>
      <c r="J113" s="1">
        <v>16865</v>
      </c>
      <c r="K113" s="1">
        <v>297</v>
      </c>
      <c r="L113" s="1" t="s">
        <v>29</v>
      </c>
      <c r="M113" s="1" t="s">
        <v>38</v>
      </c>
    </row>
    <row r="114" spans="1:13" ht="14.25" customHeight="1">
      <c r="A114" s="1" t="s">
        <v>269</v>
      </c>
      <c r="B114" s="1" t="s">
        <v>14</v>
      </c>
      <c r="C114" s="1" t="s">
        <v>270</v>
      </c>
      <c r="D114" s="1" t="s">
        <v>42</v>
      </c>
      <c r="E114" s="1" t="s">
        <v>43</v>
      </c>
      <c r="F114" s="1">
        <v>4419</v>
      </c>
      <c r="G114" s="1">
        <v>236</v>
      </c>
      <c r="H114" s="1">
        <v>369</v>
      </c>
      <c r="I114" s="1">
        <v>44190</v>
      </c>
      <c r="J114" s="1">
        <v>43582</v>
      </c>
      <c r="K114" s="1">
        <v>10</v>
      </c>
      <c r="L114" s="1" t="s">
        <v>44</v>
      </c>
      <c r="M114" s="1" t="s">
        <v>55</v>
      </c>
    </row>
    <row r="115" spans="1:13" ht="14.25" customHeight="1">
      <c r="A115" s="1" t="s">
        <v>271</v>
      </c>
      <c r="B115" s="1" t="s">
        <v>14</v>
      </c>
      <c r="C115" s="1" t="s">
        <v>272</v>
      </c>
      <c r="D115" s="1" t="s">
        <v>33</v>
      </c>
      <c r="E115" s="1" t="s">
        <v>34</v>
      </c>
      <c r="F115" s="1">
        <v>4000</v>
      </c>
      <c r="G115" s="1">
        <v>689</v>
      </c>
      <c r="H115" s="1">
        <v>488</v>
      </c>
      <c r="I115" s="1">
        <v>40000</v>
      </c>
      <c r="J115" s="1">
        <v>39569</v>
      </c>
      <c r="K115" s="1">
        <v>44</v>
      </c>
      <c r="L115" s="1" t="s">
        <v>144</v>
      </c>
      <c r="M115" s="1" t="s">
        <v>38</v>
      </c>
    </row>
    <row r="116" spans="1:13" ht="14.25" customHeight="1">
      <c r="A116" s="1" t="s">
        <v>273</v>
      </c>
      <c r="B116" s="1" t="s">
        <v>14</v>
      </c>
      <c r="C116" s="1" t="s">
        <v>274</v>
      </c>
      <c r="D116" s="1" t="s">
        <v>49</v>
      </c>
      <c r="E116" s="1" t="s">
        <v>50</v>
      </c>
      <c r="F116" s="1">
        <v>2493</v>
      </c>
      <c r="G116" s="1">
        <v>97</v>
      </c>
      <c r="H116" s="1">
        <v>44</v>
      </c>
      <c r="I116" s="1">
        <v>42381</v>
      </c>
      <c r="J116" s="1">
        <v>41991</v>
      </c>
      <c r="K116" s="1">
        <v>242</v>
      </c>
      <c r="L116" s="1" t="s">
        <v>82</v>
      </c>
      <c r="M116" s="1" t="s">
        <v>19</v>
      </c>
    </row>
    <row r="117" spans="1:13" ht="14.25" customHeight="1">
      <c r="A117" s="1" t="s">
        <v>275</v>
      </c>
      <c r="B117" s="1" t="s">
        <v>27</v>
      </c>
      <c r="C117" s="1" t="s">
        <v>276</v>
      </c>
      <c r="D117" s="1" t="s">
        <v>16</v>
      </c>
      <c r="E117" s="1" t="s">
        <v>17</v>
      </c>
      <c r="F117" s="1">
        <v>3704</v>
      </c>
      <c r="G117" s="1">
        <v>186</v>
      </c>
      <c r="H117" s="1">
        <v>458</v>
      </c>
      <c r="I117" s="1">
        <v>25928</v>
      </c>
      <c r="J117" s="1">
        <v>25081</v>
      </c>
      <c r="K117" s="1">
        <v>131</v>
      </c>
      <c r="L117" s="1" t="s">
        <v>58</v>
      </c>
      <c r="M117" s="1" t="s">
        <v>19</v>
      </c>
    </row>
    <row r="118" spans="1:13" ht="14.25" customHeight="1">
      <c r="A118" s="1" t="s">
        <v>277</v>
      </c>
      <c r="B118" s="1" t="s">
        <v>14</v>
      </c>
      <c r="C118" s="1" t="s">
        <v>278</v>
      </c>
      <c r="D118" s="1" t="s">
        <v>49</v>
      </c>
      <c r="E118" s="1" t="s">
        <v>50</v>
      </c>
      <c r="F118" s="1">
        <v>1606</v>
      </c>
      <c r="G118" s="1">
        <v>451</v>
      </c>
      <c r="H118" s="1">
        <v>405</v>
      </c>
      <c r="I118" s="1">
        <v>20878</v>
      </c>
      <c r="J118" s="1">
        <v>20190</v>
      </c>
      <c r="K118" s="1">
        <v>219</v>
      </c>
      <c r="L118" s="1" t="s">
        <v>82</v>
      </c>
      <c r="M118" s="1" t="s">
        <v>25</v>
      </c>
    </row>
    <row r="119" spans="1:13" ht="14.25" customHeight="1">
      <c r="A119" s="1" t="s">
        <v>279</v>
      </c>
      <c r="B119" s="1" t="s">
        <v>40</v>
      </c>
      <c r="C119" s="1" t="s">
        <v>278</v>
      </c>
      <c r="D119" s="1" t="s">
        <v>49</v>
      </c>
      <c r="E119" s="1" t="s">
        <v>50</v>
      </c>
      <c r="F119" s="1">
        <v>4551</v>
      </c>
      <c r="G119" s="1">
        <v>714</v>
      </c>
      <c r="H119" s="1">
        <v>207</v>
      </c>
      <c r="I119" s="1">
        <v>68265</v>
      </c>
      <c r="J119" s="1">
        <v>67754</v>
      </c>
      <c r="K119" s="1">
        <v>57</v>
      </c>
      <c r="L119" s="1" t="s">
        <v>44</v>
      </c>
      <c r="M119" s="1" t="s">
        <v>25</v>
      </c>
    </row>
    <row r="120" spans="1:13" ht="14.25" customHeight="1">
      <c r="A120" s="1" t="s">
        <v>280</v>
      </c>
      <c r="B120" s="1" t="s">
        <v>31</v>
      </c>
      <c r="C120" s="1" t="s">
        <v>281</v>
      </c>
      <c r="D120" s="1" t="s">
        <v>16</v>
      </c>
      <c r="E120" s="1" t="s">
        <v>17</v>
      </c>
      <c r="F120" s="1">
        <v>1970</v>
      </c>
      <c r="G120" s="1">
        <v>675</v>
      </c>
      <c r="H120" s="1">
        <v>478</v>
      </c>
      <c r="I120" s="1">
        <v>9850</v>
      </c>
      <c r="J120" s="1">
        <v>8924</v>
      </c>
      <c r="K120" s="1">
        <v>117</v>
      </c>
      <c r="L120" s="1" t="s">
        <v>44</v>
      </c>
      <c r="M120" s="1" t="s">
        <v>55</v>
      </c>
    </row>
    <row r="121" spans="1:13" ht="14.25" customHeight="1">
      <c r="A121" s="1" t="s">
        <v>282</v>
      </c>
      <c r="B121" s="1" t="s">
        <v>40</v>
      </c>
      <c r="C121" s="1" t="s">
        <v>164</v>
      </c>
      <c r="D121" s="1" t="s">
        <v>33</v>
      </c>
      <c r="E121" s="1" t="s">
        <v>34</v>
      </c>
      <c r="F121" s="1">
        <v>780</v>
      </c>
      <c r="G121" s="1">
        <v>928</v>
      </c>
      <c r="H121" s="1">
        <v>301</v>
      </c>
      <c r="I121" s="1">
        <v>8580</v>
      </c>
      <c r="J121" s="1">
        <v>8081</v>
      </c>
      <c r="K121" s="1">
        <v>91</v>
      </c>
      <c r="L121" s="1" t="s">
        <v>66</v>
      </c>
      <c r="M121" s="1" t="s">
        <v>55</v>
      </c>
    </row>
    <row r="122" spans="1:13" ht="14.25" customHeight="1">
      <c r="A122" s="1" t="s">
        <v>283</v>
      </c>
      <c r="B122" s="1" t="s">
        <v>31</v>
      </c>
      <c r="C122" s="1" t="s">
        <v>263</v>
      </c>
      <c r="D122" s="1" t="s">
        <v>33</v>
      </c>
      <c r="E122" s="1" t="s">
        <v>34</v>
      </c>
      <c r="F122" s="1">
        <v>498</v>
      </c>
      <c r="G122" s="1">
        <v>701</v>
      </c>
      <c r="H122" s="1">
        <v>412</v>
      </c>
      <c r="I122" s="1">
        <v>4980</v>
      </c>
      <c r="J122" s="1">
        <v>4185</v>
      </c>
      <c r="K122" s="1">
        <v>185</v>
      </c>
      <c r="L122" s="1" t="s">
        <v>264</v>
      </c>
      <c r="M122" s="1" t="s">
        <v>55</v>
      </c>
    </row>
    <row r="123" spans="1:13" ht="14.25" customHeight="1">
      <c r="A123" s="1" t="s">
        <v>284</v>
      </c>
      <c r="B123" s="1" t="s">
        <v>31</v>
      </c>
      <c r="C123" s="1" t="s">
        <v>270</v>
      </c>
      <c r="D123" s="1" t="s">
        <v>22</v>
      </c>
      <c r="E123" s="1" t="s">
        <v>23</v>
      </c>
      <c r="F123" s="1">
        <v>3432</v>
      </c>
      <c r="G123" s="1">
        <v>869</v>
      </c>
      <c r="H123" s="1">
        <v>123</v>
      </c>
      <c r="I123" s="1">
        <v>54912</v>
      </c>
      <c r="J123" s="1">
        <v>53916</v>
      </c>
      <c r="K123" s="1">
        <v>264</v>
      </c>
      <c r="L123" s="1" t="s">
        <v>285</v>
      </c>
      <c r="M123" s="1" t="s">
        <v>25</v>
      </c>
    </row>
    <row r="124" spans="1:13" ht="14.25" customHeight="1">
      <c r="A124" s="1" t="s">
        <v>286</v>
      </c>
      <c r="B124" s="1" t="s">
        <v>31</v>
      </c>
      <c r="C124" s="1" t="s">
        <v>253</v>
      </c>
      <c r="D124" s="1" t="s">
        <v>33</v>
      </c>
      <c r="E124" s="1" t="s">
        <v>34</v>
      </c>
      <c r="F124" s="1">
        <v>4363</v>
      </c>
      <c r="G124" s="1">
        <v>649</v>
      </c>
      <c r="H124" s="1">
        <v>140</v>
      </c>
      <c r="I124" s="1">
        <v>21815</v>
      </c>
      <c r="J124" s="1">
        <v>21481</v>
      </c>
      <c r="K124" s="1">
        <v>157</v>
      </c>
      <c r="L124" s="1" t="s">
        <v>66</v>
      </c>
      <c r="M124" s="1" t="s">
        <v>25</v>
      </c>
    </row>
    <row r="125" spans="1:13" ht="14.25" customHeight="1">
      <c r="A125" s="1" t="s">
        <v>287</v>
      </c>
      <c r="B125" s="1" t="s">
        <v>27</v>
      </c>
      <c r="C125" s="1" t="s">
        <v>288</v>
      </c>
      <c r="D125" s="1" t="s">
        <v>42</v>
      </c>
      <c r="E125" s="1" t="s">
        <v>43</v>
      </c>
      <c r="F125" s="1">
        <v>736</v>
      </c>
      <c r="G125" s="1">
        <v>771</v>
      </c>
      <c r="H125" s="1">
        <v>225</v>
      </c>
      <c r="I125" s="1">
        <v>5152</v>
      </c>
      <c r="J125" s="1">
        <v>4706</v>
      </c>
      <c r="K125" s="1">
        <v>19</v>
      </c>
      <c r="L125" s="1" t="s">
        <v>58</v>
      </c>
      <c r="M125" s="1" t="s">
        <v>38</v>
      </c>
    </row>
    <row r="126" spans="1:13" ht="14.25" customHeight="1">
      <c r="A126" s="1" t="s">
        <v>289</v>
      </c>
      <c r="B126" s="1" t="s">
        <v>14</v>
      </c>
      <c r="C126" s="1" t="s">
        <v>290</v>
      </c>
      <c r="D126" s="1" t="s">
        <v>42</v>
      </c>
      <c r="E126" s="1" t="s">
        <v>43</v>
      </c>
      <c r="F126" s="1">
        <v>3811</v>
      </c>
      <c r="G126" s="1">
        <v>866</v>
      </c>
      <c r="H126" s="1">
        <v>216</v>
      </c>
      <c r="I126" s="1">
        <v>34299</v>
      </c>
      <c r="J126" s="1">
        <v>34088</v>
      </c>
      <c r="K126" s="1">
        <v>233</v>
      </c>
      <c r="L126" s="1" t="s">
        <v>58</v>
      </c>
      <c r="M126" s="1" t="s">
        <v>38</v>
      </c>
    </row>
    <row r="127" spans="1:13" ht="14.25" customHeight="1">
      <c r="A127" s="1" t="s">
        <v>291</v>
      </c>
      <c r="B127" s="1" t="s">
        <v>31</v>
      </c>
      <c r="C127" s="1" t="s">
        <v>180</v>
      </c>
      <c r="D127" s="1" t="s">
        <v>42</v>
      </c>
      <c r="E127" s="1" t="s">
        <v>43</v>
      </c>
      <c r="F127" s="1">
        <v>4158</v>
      </c>
      <c r="G127" s="1">
        <v>167</v>
      </c>
      <c r="H127" s="1">
        <v>241</v>
      </c>
      <c r="I127" s="1">
        <v>45738</v>
      </c>
      <c r="J127" s="1">
        <v>45183</v>
      </c>
      <c r="K127" s="1">
        <v>142</v>
      </c>
      <c r="L127" s="1" t="s">
        <v>24</v>
      </c>
      <c r="M127" s="1" t="s">
        <v>25</v>
      </c>
    </row>
    <row r="128" spans="1:13" ht="14.25" customHeight="1">
      <c r="A128" s="1" t="s">
        <v>292</v>
      </c>
      <c r="B128" s="1" t="s">
        <v>40</v>
      </c>
      <c r="C128" s="1" t="s">
        <v>219</v>
      </c>
      <c r="D128" s="1" t="s">
        <v>16</v>
      </c>
      <c r="E128" s="1" t="s">
        <v>17</v>
      </c>
      <c r="F128" s="1">
        <v>3452</v>
      </c>
      <c r="G128" s="1">
        <v>652</v>
      </c>
      <c r="H128" s="1">
        <v>442</v>
      </c>
      <c r="I128" s="1">
        <v>65588</v>
      </c>
      <c r="J128" s="1">
        <v>65049</v>
      </c>
      <c r="K128" s="1">
        <v>158</v>
      </c>
      <c r="L128" s="1" t="s">
        <v>82</v>
      </c>
      <c r="M128" s="1" t="s">
        <v>19</v>
      </c>
    </row>
    <row r="129" spans="1:13" ht="14.25" customHeight="1">
      <c r="A129" s="1" t="s">
        <v>293</v>
      </c>
      <c r="B129" s="1" t="s">
        <v>14</v>
      </c>
      <c r="C129" s="1" t="s">
        <v>225</v>
      </c>
      <c r="D129" s="1" t="s">
        <v>49</v>
      </c>
      <c r="E129" s="1" t="s">
        <v>50</v>
      </c>
      <c r="F129" s="1">
        <v>3092</v>
      </c>
      <c r="G129" s="1">
        <v>106</v>
      </c>
      <c r="H129" s="1">
        <v>291</v>
      </c>
      <c r="I129" s="1">
        <v>27828</v>
      </c>
      <c r="J129" s="1">
        <v>27217</v>
      </c>
      <c r="K129" s="1">
        <v>102</v>
      </c>
      <c r="L129" s="1" t="s">
        <v>58</v>
      </c>
      <c r="M129" s="1" t="s">
        <v>55</v>
      </c>
    </row>
    <row r="130" spans="1:13" ht="14.25" customHeight="1">
      <c r="A130" s="1" t="s">
        <v>294</v>
      </c>
      <c r="B130" s="1" t="s">
        <v>14</v>
      </c>
      <c r="C130" s="1" t="s">
        <v>60</v>
      </c>
      <c r="D130" s="1" t="s">
        <v>22</v>
      </c>
      <c r="E130" s="1" t="s">
        <v>23</v>
      </c>
      <c r="F130" s="1">
        <v>2147</v>
      </c>
      <c r="G130" s="1">
        <v>430</v>
      </c>
      <c r="H130" s="1">
        <v>393</v>
      </c>
      <c r="I130" s="1">
        <v>17176</v>
      </c>
      <c r="J130" s="1">
        <v>16483</v>
      </c>
      <c r="K130" s="1">
        <v>170</v>
      </c>
      <c r="L130" s="1" t="s">
        <v>77</v>
      </c>
      <c r="M130" s="1" t="s">
        <v>55</v>
      </c>
    </row>
    <row r="131" spans="1:13" ht="14.25" customHeight="1">
      <c r="A131" s="1" t="s">
        <v>295</v>
      </c>
      <c r="B131" s="1" t="s">
        <v>27</v>
      </c>
      <c r="C131" s="1" t="s">
        <v>296</v>
      </c>
      <c r="D131" s="1" t="s">
        <v>16</v>
      </c>
      <c r="E131" s="1" t="s">
        <v>17</v>
      </c>
      <c r="F131" s="1">
        <v>2936</v>
      </c>
      <c r="G131" s="1">
        <v>439</v>
      </c>
      <c r="H131" s="1">
        <v>44</v>
      </c>
      <c r="I131" s="1">
        <v>38168</v>
      </c>
      <c r="J131" s="1">
        <v>37571</v>
      </c>
      <c r="K131" s="1">
        <v>22</v>
      </c>
      <c r="L131" s="1" t="s">
        <v>18</v>
      </c>
      <c r="M131" s="1" t="s">
        <v>38</v>
      </c>
    </row>
    <row r="132" spans="1:13" ht="14.25" customHeight="1">
      <c r="A132" s="1" t="s">
        <v>297</v>
      </c>
      <c r="B132" s="1" t="s">
        <v>31</v>
      </c>
      <c r="C132" s="1" t="s">
        <v>164</v>
      </c>
      <c r="D132" s="1" t="s">
        <v>16</v>
      </c>
      <c r="E132" s="1" t="s">
        <v>17</v>
      </c>
      <c r="F132" s="1">
        <v>4840</v>
      </c>
      <c r="G132" s="1">
        <v>658</v>
      </c>
      <c r="H132" s="1">
        <v>211</v>
      </c>
      <c r="I132" s="1">
        <v>43560</v>
      </c>
      <c r="J132" s="1">
        <v>43225</v>
      </c>
      <c r="K132" s="1">
        <v>57</v>
      </c>
      <c r="L132" s="1" t="s">
        <v>66</v>
      </c>
      <c r="M132" s="1" t="s">
        <v>25</v>
      </c>
    </row>
    <row r="133" spans="1:13" ht="14.25" customHeight="1">
      <c r="A133" s="1" t="s">
        <v>298</v>
      </c>
      <c r="B133" s="1" t="s">
        <v>31</v>
      </c>
      <c r="C133" s="1" t="s">
        <v>101</v>
      </c>
      <c r="D133" s="1" t="s">
        <v>33</v>
      </c>
      <c r="E133" s="1" t="s">
        <v>34</v>
      </c>
      <c r="F133" s="1">
        <v>1947</v>
      </c>
      <c r="G133" s="1">
        <v>842</v>
      </c>
      <c r="H133" s="1">
        <v>101</v>
      </c>
      <c r="I133" s="1">
        <v>21417</v>
      </c>
      <c r="J133" s="1">
        <v>20967</v>
      </c>
      <c r="K133" s="1">
        <v>186</v>
      </c>
      <c r="L133" s="1" t="s">
        <v>24</v>
      </c>
      <c r="M133" s="1" t="s">
        <v>25</v>
      </c>
    </row>
    <row r="134" spans="1:13" ht="14.25" customHeight="1">
      <c r="A134" s="1" t="s">
        <v>299</v>
      </c>
      <c r="B134" s="1" t="s">
        <v>40</v>
      </c>
      <c r="C134" s="1" t="s">
        <v>300</v>
      </c>
      <c r="D134" s="1" t="s">
        <v>49</v>
      </c>
      <c r="E134" s="1" t="s">
        <v>50</v>
      </c>
      <c r="F134" s="1">
        <v>2072</v>
      </c>
      <c r="G134" s="1">
        <v>532</v>
      </c>
      <c r="H134" s="1">
        <v>71</v>
      </c>
      <c r="I134" s="1">
        <v>37296</v>
      </c>
      <c r="J134" s="1">
        <v>36467</v>
      </c>
      <c r="K134" s="1">
        <v>25</v>
      </c>
      <c r="L134" s="1" t="s">
        <v>18</v>
      </c>
      <c r="M134" s="1" t="s">
        <v>38</v>
      </c>
    </row>
    <row r="135" spans="1:13" ht="14.25" customHeight="1">
      <c r="A135" s="1" t="s">
        <v>301</v>
      </c>
      <c r="B135" s="1" t="s">
        <v>14</v>
      </c>
      <c r="C135" s="1" t="s">
        <v>302</v>
      </c>
      <c r="D135" s="1" t="s">
        <v>16</v>
      </c>
      <c r="E135" s="1" t="s">
        <v>17</v>
      </c>
      <c r="F135" s="1">
        <v>3731</v>
      </c>
      <c r="G135" s="1">
        <v>115</v>
      </c>
      <c r="H135" s="1">
        <v>135</v>
      </c>
      <c r="I135" s="1">
        <v>55965</v>
      </c>
      <c r="J135" s="1">
        <v>55436</v>
      </c>
      <c r="K135" s="1">
        <v>103</v>
      </c>
      <c r="L135" s="1" t="s">
        <v>77</v>
      </c>
      <c r="M135" s="1" t="s">
        <v>55</v>
      </c>
    </row>
    <row r="136" spans="1:13" ht="14.25" customHeight="1">
      <c r="A136" s="1" t="s">
        <v>303</v>
      </c>
      <c r="B136" s="1" t="s">
        <v>40</v>
      </c>
      <c r="C136" s="1" t="s">
        <v>304</v>
      </c>
      <c r="D136" s="1" t="s">
        <v>22</v>
      </c>
      <c r="E136" s="1" t="s">
        <v>23</v>
      </c>
      <c r="F136" s="1">
        <v>4213</v>
      </c>
      <c r="G136" s="1">
        <v>253</v>
      </c>
      <c r="H136" s="1">
        <v>434</v>
      </c>
      <c r="I136" s="1">
        <v>75834</v>
      </c>
      <c r="J136" s="1">
        <v>75437</v>
      </c>
      <c r="K136" s="1">
        <v>272</v>
      </c>
      <c r="L136" s="1" t="s">
        <v>44</v>
      </c>
      <c r="M136" s="1" t="s">
        <v>38</v>
      </c>
    </row>
    <row r="137" spans="1:13" ht="14.25" customHeight="1">
      <c r="A137" s="1" t="s">
        <v>305</v>
      </c>
      <c r="B137" s="1" t="s">
        <v>31</v>
      </c>
      <c r="C137" s="1" t="s">
        <v>306</v>
      </c>
      <c r="D137" s="1" t="s">
        <v>22</v>
      </c>
      <c r="E137" s="1" t="s">
        <v>23</v>
      </c>
      <c r="F137" s="1">
        <v>3134</v>
      </c>
      <c r="G137" s="1">
        <v>888</v>
      </c>
      <c r="H137" s="1">
        <v>444</v>
      </c>
      <c r="I137" s="1">
        <v>21938</v>
      </c>
      <c r="J137" s="1">
        <v>21337</v>
      </c>
      <c r="K137" s="1">
        <v>130</v>
      </c>
      <c r="L137" s="1" t="s">
        <v>66</v>
      </c>
      <c r="M137" s="1" t="s">
        <v>55</v>
      </c>
    </row>
    <row r="138" spans="1:13" ht="14.25" customHeight="1">
      <c r="A138" s="1" t="s">
        <v>307</v>
      </c>
      <c r="B138" s="1" t="s">
        <v>40</v>
      </c>
      <c r="C138" s="1" t="s">
        <v>111</v>
      </c>
      <c r="D138" s="1" t="s">
        <v>69</v>
      </c>
      <c r="E138" s="1" t="s">
        <v>70</v>
      </c>
      <c r="F138" s="1">
        <v>3008</v>
      </c>
      <c r="G138" s="1">
        <v>94</v>
      </c>
      <c r="H138" s="1">
        <v>37</v>
      </c>
      <c r="I138" s="1">
        <v>15040</v>
      </c>
      <c r="J138" s="1">
        <v>14639</v>
      </c>
      <c r="K138" s="1">
        <v>277</v>
      </c>
      <c r="L138" s="1" t="s">
        <v>77</v>
      </c>
      <c r="M138" s="1" t="s">
        <v>19</v>
      </c>
    </row>
    <row r="139" spans="1:13" ht="14.25" customHeight="1">
      <c r="A139" s="1" t="s">
        <v>308</v>
      </c>
      <c r="B139" s="1" t="s">
        <v>14</v>
      </c>
      <c r="C139" s="1" t="s">
        <v>184</v>
      </c>
      <c r="D139" s="1" t="s">
        <v>49</v>
      </c>
      <c r="E139" s="1" t="s">
        <v>50</v>
      </c>
      <c r="F139" s="1">
        <v>305</v>
      </c>
      <c r="G139" s="1">
        <v>187</v>
      </c>
      <c r="H139" s="1">
        <v>243</v>
      </c>
      <c r="I139" s="1">
        <v>4575</v>
      </c>
      <c r="J139" s="1">
        <v>3704</v>
      </c>
      <c r="K139" s="1">
        <v>234</v>
      </c>
      <c r="L139" s="1" t="s">
        <v>285</v>
      </c>
      <c r="M139" s="1" t="s">
        <v>55</v>
      </c>
    </row>
    <row r="140" spans="1:13" ht="14.25" customHeight="1">
      <c r="A140" s="1" t="s">
        <v>309</v>
      </c>
      <c r="B140" s="1" t="s">
        <v>27</v>
      </c>
      <c r="C140" s="1" t="s">
        <v>310</v>
      </c>
      <c r="D140" s="1" t="s">
        <v>22</v>
      </c>
      <c r="E140" s="1" t="s">
        <v>23</v>
      </c>
      <c r="F140" s="1">
        <v>2746</v>
      </c>
      <c r="G140" s="1">
        <v>156</v>
      </c>
      <c r="H140" s="1">
        <v>203</v>
      </c>
      <c r="I140" s="1">
        <v>32952</v>
      </c>
      <c r="J140" s="1">
        <v>32147</v>
      </c>
      <c r="K140" s="1">
        <v>147</v>
      </c>
      <c r="L140" s="1" t="s">
        <v>146</v>
      </c>
      <c r="M140" s="1" t="s">
        <v>25</v>
      </c>
    </row>
    <row r="141" spans="1:13" ht="14.25" customHeight="1">
      <c r="A141" s="1" t="s">
        <v>311</v>
      </c>
      <c r="B141" s="1" t="s">
        <v>40</v>
      </c>
      <c r="C141" s="1" t="s">
        <v>312</v>
      </c>
      <c r="D141" s="1" t="s">
        <v>49</v>
      </c>
      <c r="E141" s="1" t="s">
        <v>50</v>
      </c>
      <c r="F141" s="1">
        <v>2291</v>
      </c>
      <c r="G141" s="1">
        <v>78</v>
      </c>
      <c r="H141" s="1">
        <v>485</v>
      </c>
      <c r="I141" s="1">
        <v>18328</v>
      </c>
      <c r="J141" s="1">
        <v>18101</v>
      </c>
      <c r="K141" s="1">
        <v>10</v>
      </c>
      <c r="L141" s="1" t="s">
        <v>77</v>
      </c>
      <c r="M141" s="1" t="s">
        <v>19</v>
      </c>
    </row>
    <row r="142" spans="1:13" ht="14.25" customHeight="1">
      <c r="A142" s="1" t="s">
        <v>313</v>
      </c>
      <c r="B142" s="1" t="s">
        <v>14</v>
      </c>
      <c r="C142" s="1" t="s">
        <v>314</v>
      </c>
      <c r="D142" s="1" t="s">
        <v>49</v>
      </c>
      <c r="E142" s="1" t="s">
        <v>50</v>
      </c>
      <c r="F142" s="1">
        <v>3170</v>
      </c>
      <c r="G142" s="1">
        <v>857</v>
      </c>
      <c r="H142" s="1">
        <v>379</v>
      </c>
      <c r="I142" s="1">
        <v>19020</v>
      </c>
      <c r="J142" s="1">
        <v>18559</v>
      </c>
      <c r="K142" s="1">
        <v>240</v>
      </c>
      <c r="L142" s="1" t="s">
        <v>18</v>
      </c>
      <c r="M142" s="1" t="s">
        <v>38</v>
      </c>
    </row>
    <row r="143" spans="1:13" ht="14.25" customHeight="1">
      <c r="A143" s="1" t="s">
        <v>315</v>
      </c>
      <c r="B143" s="1" t="s">
        <v>27</v>
      </c>
      <c r="C143" s="1" t="s">
        <v>259</v>
      </c>
      <c r="D143" s="1" t="s">
        <v>33</v>
      </c>
      <c r="E143" s="1" t="s">
        <v>34</v>
      </c>
      <c r="F143" s="1">
        <v>2070</v>
      </c>
      <c r="G143" s="1">
        <v>275</v>
      </c>
      <c r="H143" s="1">
        <v>386</v>
      </c>
      <c r="I143" s="1">
        <v>39330</v>
      </c>
      <c r="J143" s="1">
        <v>38627</v>
      </c>
      <c r="K143" s="1">
        <v>114</v>
      </c>
      <c r="L143" s="1" t="s">
        <v>18</v>
      </c>
      <c r="M143" s="1" t="s">
        <v>55</v>
      </c>
    </row>
    <row r="144" spans="1:13" ht="14.25" customHeight="1">
      <c r="A144" s="1" t="s">
        <v>316</v>
      </c>
      <c r="B144" s="1" t="s">
        <v>27</v>
      </c>
      <c r="C144" s="1" t="s">
        <v>270</v>
      </c>
      <c r="D144" s="1" t="s">
        <v>42</v>
      </c>
      <c r="E144" s="1" t="s">
        <v>43</v>
      </c>
      <c r="F144" s="1">
        <v>80</v>
      </c>
      <c r="G144" s="1">
        <v>362</v>
      </c>
      <c r="H144" s="1">
        <v>80</v>
      </c>
      <c r="I144" s="1">
        <v>1040</v>
      </c>
      <c r="J144" s="1">
        <v>349</v>
      </c>
      <c r="K144" s="1">
        <v>117</v>
      </c>
      <c r="L144" s="1" t="s">
        <v>146</v>
      </c>
      <c r="M144" s="1" t="s">
        <v>25</v>
      </c>
    </row>
    <row r="145" spans="1:13" ht="14.25" customHeight="1">
      <c r="A145" s="1" t="s">
        <v>317</v>
      </c>
      <c r="B145" s="1" t="s">
        <v>27</v>
      </c>
      <c r="C145" s="1" t="s">
        <v>197</v>
      </c>
      <c r="D145" s="1" t="s">
        <v>33</v>
      </c>
      <c r="E145" s="1" t="s">
        <v>34</v>
      </c>
      <c r="F145" s="1">
        <v>4929</v>
      </c>
      <c r="G145" s="1">
        <v>749</v>
      </c>
      <c r="H145" s="1">
        <v>452</v>
      </c>
      <c r="I145" s="1">
        <v>93651</v>
      </c>
      <c r="J145" s="1">
        <v>92810</v>
      </c>
      <c r="K145" s="1">
        <v>66</v>
      </c>
      <c r="L145" s="1" t="s">
        <v>214</v>
      </c>
      <c r="M145" s="1" t="s">
        <v>19</v>
      </c>
    </row>
    <row r="146" spans="1:13" ht="14.25" customHeight="1">
      <c r="A146" s="1" t="s">
        <v>318</v>
      </c>
      <c r="B146" s="1" t="s">
        <v>31</v>
      </c>
      <c r="C146" s="1" t="s">
        <v>32</v>
      </c>
      <c r="D146" s="1" t="s">
        <v>42</v>
      </c>
      <c r="E146" s="1" t="s">
        <v>43</v>
      </c>
      <c r="F146" s="1">
        <v>1878</v>
      </c>
      <c r="G146" s="1">
        <v>62</v>
      </c>
      <c r="H146" s="1">
        <v>179</v>
      </c>
      <c r="I146" s="1">
        <v>37560</v>
      </c>
      <c r="J146" s="1">
        <v>36874</v>
      </c>
      <c r="K146" s="1">
        <v>142</v>
      </c>
      <c r="L146" s="1" t="s">
        <v>178</v>
      </c>
      <c r="M146" s="1" t="s">
        <v>19</v>
      </c>
    </row>
    <row r="147" spans="1:13" ht="14.25" customHeight="1">
      <c r="A147" s="1" t="s">
        <v>319</v>
      </c>
      <c r="B147" s="1" t="s">
        <v>27</v>
      </c>
      <c r="C147" s="1" t="s">
        <v>320</v>
      </c>
      <c r="D147" s="1" t="s">
        <v>16</v>
      </c>
      <c r="E147" s="1" t="s">
        <v>17</v>
      </c>
      <c r="F147" s="1">
        <v>3065</v>
      </c>
      <c r="G147" s="1">
        <v>772</v>
      </c>
      <c r="H147" s="1">
        <v>142</v>
      </c>
      <c r="I147" s="1">
        <v>18390</v>
      </c>
      <c r="J147" s="1">
        <v>17875</v>
      </c>
      <c r="K147" s="1">
        <v>200</v>
      </c>
      <c r="L147" s="1" t="s">
        <v>58</v>
      </c>
      <c r="M147" s="1" t="s">
        <v>19</v>
      </c>
    </row>
    <row r="148" spans="1:13" ht="14.25" customHeight="1">
      <c r="A148" s="1" t="s">
        <v>321</v>
      </c>
      <c r="B148" s="1" t="s">
        <v>31</v>
      </c>
      <c r="C148" s="1" t="s">
        <v>164</v>
      </c>
      <c r="D148" s="1" t="s">
        <v>16</v>
      </c>
      <c r="E148" s="1" t="s">
        <v>17</v>
      </c>
      <c r="F148" s="1">
        <v>3256</v>
      </c>
      <c r="G148" s="1">
        <v>459</v>
      </c>
      <c r="H148" s="1">
        <v>266</v>
      </c>
      <c r="I148" s="1">
        <v>26048</v>
      </c>
      <c r="J148" s="1">
        <v>25529</v>
      </c>
      <c r="K148" s="1">
        <v>143</v>
      </c>
      <c r="L148" s="1" t="s">
        <v>82</v>
      </c>
      <c r="M148" s="1" t="s">
        <v>38</v>
      </c>
    </row>
    <row r="149" spans="1:13" ht="14.25" customHeight="1">
      <c r="A149" s="1" t="s">
        <v>322</v>
      </c>
      <c r="B149" s="1" t="s">
        <v>31</v>
      </c>
      <c r="C149" s="1" t="s">
        <v>166</v>
      </c>
      <c r="D149" s="1" t="s">
        <v>69</v>
      </c>
      <c r="E149" s="1" t="s">
        <v>70</v>
      </c>
      <c r="F149" s="1">
        <v>4133</v>
      </c>
      <c r="G149" s="1">
        <v>466</v>
      </c>
      <c r="H149" s="1">
        <v>327</v>
      </c>
      <c r="I149" s="1">
        <v>24798</v>
      </c>
      <c r="J149" s="1">
        <v>24620</v>
      </c>
      <c r="K149" s="1">
        <v>176</v>
      </c>
      <c r="L149" s="1" t="s">
        <v>58</v>
      </c>
      <c r="M149" s="1" t="s">
        <v>25</v>
      </c>
    </row>
    <row r="150" spans="1:13" ht="14.25" customHeight="1">
      <c r="A150" s="1" t="s">
        <v>323</v>
      </c>
      <c r="B150" s="1" t="s">
        <v>14</v>
      </c>
      <c r="C150" s="1" t="s">
        <v>324</v>
      </c>
      <c r="D150" s="1" t="s">
        <v>69</v>
      </c>
      <c r="E150" s="1" t="s">
        <v>70</v>
      </c>
      <c r="F150" s="1">
        <v>1702</v>
      </c>
      <c r="G150" s="1">
        <v>750</v>
      </c>
      <c r="H150" s="1">
        <v>179</v>
      </c>
      <c r="I150" s="1">
        <v>34040</v>
      </c>
      <c r="J150" s="1">
        <v>33174</v>
      </c>
      <c r="K150" s="1">
        <v>76</v>
      </c>
      <c r="L150" s="1" t="s">
        <v>44</v>
      </c>
      <c r="M150" s="1" t="s">
        <v>38</v>
      </c>
    </row>
    <row r="151" spans="1:13" ht="14.25" customHeight="1">
      <c r="A151" s="1" t="s">
        <v>325</v>
      </c>
      <c r="B151" s="1" t="s">
        <v>27</v>
      </c>
      <c r="C151" s="1" t="s">
        <v>326</v>
      </c>
      <c r="D151" s="1" t="s">
        <v>42</v>
      </c>
      <c r="E151" s="1" t="s">
        <v>43</v>
      </c>
      <c r="F151" s="1">
        <v>4295</v>
      </c>
      <c r="G151" s="1">
        <v>853</v>
      </c>
      <c r="H151" s="1">
        <v>325</v>
      </c>
      <c r="I151" s="1">
        <v>85900</v>
      </c>
      <c r="J151" s="1">
        <v>85788</v>
      </c>
      <c r="K151" s="1">
        <v>290</v>
      </c>
      <c r="L151" s="1" t="s">
        <v>209</v>
      </c>
      <c r="M151" s="1" t="s">
        <v>25</v>
      </c>
    </row>
    <row r="152" spans="1:13" ht="14.25" customHeight="1">
      <c r="A152" s="1" t="s">
        <v>327</v>
      </c>
      <c r="B152" s="1" t="s">
        <v>31</v>
      </c>
      <c r="C152" s="1" t="s">
        <v>182</v>
      </c>
      <c r="D152" s="1" t="s">
        <v>49</v>
      </c>
      <c r="E152" s="1" t="s">
        <v>50</v>
      </c>
      <c r="F152" s="1">
        <v>3559</v>
      </c>
      <c r="G152" s="1">
        <v>59</v>
      </c>
      <c r="H152" s="1">
        <v>289</v>
      </c>
      <c r="I152" s="1">
        <v>35590</v>
      </c>
      <c r="J152" s="1">
        <v>35105</v>
      </c>
      <c r="K152" s="1">
        <v>122</v>
      </c>
      <c r="L152" s="1" t="s">
        <v>214</v>
      </c>
      <c r="M152" s="1" t="s">
        <v>38</v>
      </c>
    </row>
    <row r="153" spans="1:13" ht="14.25" customHeight="1">
      <c r="A153" s="1" t="s">
        <v>328</v>
      </c>
      <c r="B153" s="1" t="s">
        <v>40</v>
      </c>
      <c r="C153" s="1" t="s">
        <v>329</v>
      </c>
      <c r="D153" s="1" t="s">
        <v>49</v>
      </c>
      <c r="E153" s="1" t="s">
        <v>50</v>
      </c>
      <c r="F153" s="1">
        <v>4804</v>
      </c>
      <c r="G153" s="1">
        <v>550</v>
      </c>
      <c r="H153" s="1">
        <v>270</v>
      </c>
      <c r="I153" s="1">
        <v>28824</v>
      </c>
      <c r="J153" s="1">
        <v>28370</v>
      </c>
      <c r="K153" s="1">
        <v>47</v>
      </c>
      <c r="L153" s="1" t="s">
        <v>82</v>
      </c>
      <c r="M153" s="1" t="s">
        <v>55</v>
      </c>
    </row>
    <row r="154" spans="1:13" ht="14.25" customHeight="1">
      <c r="A154" s="1" t="s">
        <v>330</v>
      </c>
      <c r="B154" s="1" t="s">
        <v>14</v>
      </c>
      <c r="C154" s="1" t="s">
        <v>331</v>
      </c>
      <c r="D154" s="1" t="s">
        <v>69</v>
      </c>
      <c r="E154" s="1" t="s">
        <v>70</v>
      </c>
      <c r="F154" s="1">
        <v>754</v>
      </c>
      <c r="G154" s="1">
        <v>197</v>
      </c>
      <c r="H154" s="1">
        <v>257</v>
      </c>
      <c r="I154" s="1">
        <v>6786</v>
      </c>
      <c r="J154" s="1">
        <v>6221</v>
      </c>
      <c r="K154" s="1">
        <v>212</v>
      </c>
      <c r="L154" s="1" t="s">
        <v>178</v>
      </c>
      <c r="M154" s="1" t="s">
        <v>38</v>
      </c>
    </row>
    <row r="155" spans="1:13" ht="14.25" customHeight="1">
      <c r="A155" s="1" t="s">
        <v>332</v>
      </c>
      <c r="B155" s="1" t="s">
        <v>31</v>
      </c>
      <c r="C155" s="1" t="s">
        <v>205</v>
      </c>
      <c r="D155" s="1" t="s">
        <v>42</v>
      </c>
      <c r="E155" s="1" t="s">
        <v>43</v>
      </c>
      <c r="F155" s="1">
        <v>985</v>
      </c>
      <c r="G155" s="1">
        <v>932</v>
      </c>
      <c r="H155" s="1">
        <v>287</v>
      </c>
      <c r="I155" s="1">
        <v>6895</v>
      </c>
      <c r="J155" s="1">
        <v>6757</v>
      </c>
      <c r="K155" s="1">
        <v>64</v>
      </c>
      <c r="L155" s="1" t="s">
        <v>66</v>
      </c>
      <c r="M155" s="1" t="s">
        <v>25</v>
      </c>
    </row>
    <row r="156" spans="1:13" ht="14.25" customHeight="1">
      <c r="A156" s="1" t="s">
        <v>333</v>
      </c>
      <c r="B156" s="1" t="s">
        <v>27</v>
      </c>
      <c r="C156" s="1" t="s">
        <v>334</v>
      </c>
      <c r="D156" s="1" t="s">
        <v>49</v>
      </c>
      <c r="E156" s="1" t="s">
        <v>50</v>
      </c>
      <c r="F156" s="1">
        <v>2283</v>
      </c>
      <c r="G156" s="1">
        <v>210</v>
      </c>
      <c r="H156" s="1">
        <v>130</v>
      </c>
      <c r="I156" s="1">
        <v>22830</v>
      </c>
      <c r="J156" s="1">
        <v>22617</v>
      </c>
      <c r="K156" s="1">
        <v>143</v>
      </c>
      <c r="L156" s="1" t="s">
        <v>146</v>
      </c>
      <c r="M156" s="1" t="s">
        <v>38</v>
      </c>
    </row>
    <row r="157" spans="1:13" ht="14.25" customHeight="1">
      <c r="A157" s="1" t="s">
        <v>335</v>
      </c>
      <c r="B157" s="1" t="s">
        <v>40</v>
      </c>
      <c r="C157" s="1" t="s">
        <v>336</v>
      </c>
      <c r="D157" s="1" t="s">
        <v>42</v>
      </c>
      <c r="E157" s="1" t="s">
        <v>43</v>
      </c>
      <c r="F157" s="1">
        <v>3352</v>
      </c>
      <c r="G157" s="1">
        <v>941</v>
      </c>
      <c r="H157" s="1">
        <v>482</v>
      </c>
      <c r="I157" s="1">
        <v>43576</v>
      </c>
      <c r="J157" s="1">
        <v>43338</v>
      </c>
      <c r="K157" s="1">
        <v>240</v>
      </c>
      <c r="L157" s="1" t="s">
        <v>44</v>
      </c>
      <c r="M157" s="1" t="s">
        <v>38</v>
      </c>
    </row>
    <row r="158" spans="1:13" ht="14.25" customHeight="1">
      <c r="A158" s="1" t="s">
        <v>337</v>
      </c>
      <c r="B158" s="1" t="s">
        <v>27</v>
      </c>
      <c r="C158" s="1" t="s">
        <v>338</v>
      </c>
      <c r="D158" s="1" t="s">
        <v>33</v>
      </c>
      <c r="E158" s="1" t="s">
        <v>34</v>
      </c>
      <c r="F158" s="1">
        <v>4775</v>
      </c>
      <c r="G158" s="1">
        <v>173</v>
      </c>
      <c r="H158" s="1">
        <v>206</v>
      </c>
      <c r="I158" s="1">
        <v>47750</v>
      </c>
      <c r="J158" s="1">
        <v>47544</v>
      </c>
      <c r="K158" s="1">
        <v>187</v>
      </c>
      <c r="L158" s="1" t="s">
        <v>87</v>
      </c>
      <c r="M158" s="1" t="s">
        <v>55</v>
      </c>
    </row>
    <row r="159" spans="1:13" ht="14.25" customHeight="1">
      <c r="A159" s="1" t="s">
        <v>339</v>
      </c>
      <c r="B159" s="1" t="s">
        <v>31</v>
      </c>
      <c r="C159" s="1" t="s">
        <v>340</v>
      </c>
      <c r="D159" s="1" t="s">
        <v>33</v>
      </c>
      <c r="E159" s="1" t="s">
        <v>34</v>
      </c>
      <c r="F159" s="1">
        <v>1762</v>
      </c>
      <c r="G159" s="1">
        <v>405</v>
      </c>
      <c r="H159" s="1">
        <v>423</v>
      </c>
      <c r="I159" s="1">
        <v>22906</v>
      </c>
      <c r="J159" s="1">
        <v>21925</v>
      </c>
      <c r="K159" s="1">
        <v>25</v>
      </c>
      <c r="L159" s="1" t="s">
        <v>77</v>
      </c>
      <c r="M159" s="1" t="s">
        <v>25</v>
      </c>
    </row>
    <row r="160" spans="1:13" ht="14.25" customHeight="1">
      <c r="A160" s="1" t="s">
        <v>341</v>
      </c>
      <c r="B160" s="1" t="s">
        <v>40</v>
      </c>
      <c r="C160" s="1" t="s">
        <v>126</v>
      </c>
      <c r="D160" s="1" t="s">
        <v>33</v>
      </c>
      <c r="E160" s="1" t="s">
        <v>34</v>
      </c>
      <c r="F160" s="1">
        <v>2120</v>
      </c>
      <c r="G160" s="1">
        <v>158</v>
      </c>
      <c r="H160" s="1">
        <v>488</v>
      </c>
      <c r="I160" s="1">
        <v>12720</v>
      </c>
      <c r="J160" s="1">
        <v>12085</v>
      </c>
      <c r="K160" s="1">
        <v>17</v>
      </c>
      <c r="L160" s="1" t="s">
        <v>87</v>
      </c>
      <c r="M160" s="1" t="s">
        <v>25</v>
      </c>
    </row>
    <row r="161" spans="1:13" ht="14.25" customHeight="1">
      <c r="A161" s="1" t="s">
        <v>342</v>
      </c>
      <c r="B161" s="1" t="s">
        <v>14</v>
      </c>
      <c r="C161" s="1" t="s">
        <v>343</v>
      </c>
      <c r="D161" s="1" t="s">
        <v>69</v>
      </c>
      <c r="E161" s="1" t="s">
        <v>70</v>
      </c>
      <c r="F161" s="1">
        <v>1082</v>
      </c>
      <c r="G161" s="1">
        <v>209</v>
      </c>
      <c r="H161" s="1">
        <v>484</v>
      </c>
      <c r="I161" s="1">
        <v>19476</v>
      </c>
      <c r="J161" s="1">
        <v>18654</v>
      </c>
      <c r="K161" s="1">
        <v>20</v>
      </c>
      <c r="L161" s="1" t="s">
        <v>58</v>
      </c>
      <c r="M161" s="1" t="s">
        <v>55</v>
      </c>
    </row>
    <row r="162" spans="1:13" ht="14.25" customHeight="1">
      <c r="A162" s="1" t="s">
        <v>344</v>
      </c>
      <c r="B162" s="1" t="s">
        <v>14</v>
      </c>
      <c r="C162" s="1" t="s">
        <v>345</v>
      </c>
      <c r="D162" s="1" t="s">
        <v>22</v>
      </c>
      <c r="E162" s="1" t="s">
        <v>23</v>
      </c>
      <c r="F162" s="1">
        <v>4671</v>
      </c>
      <c r="G162" s="1">
        <v>876</v>
      </c>
      <c r="H162" s="1">
        <v>366</v>
      </c>
      <c r="I162" s="1">
        <v>51381</v>
      </c>
      <c r="J162" s="1">
        <v>50565</v>
      </c>
      <c r="K162" s="1">
        <v>245</v>
      </c>
      <c r="L162" s="1" t="s">
        <v>18</v>
      </c>
      <c r="M162" s="1" t="s">
        <v>25</v>
      </c>
    </row>
    <row r="163" spans="1:13" ht="14.25" customHeight="1">
      <c r="A163" s="1" t="s">
        <v>346</v>
      </c>
      <c r="B163" s="1" t="s">
        <v>40</v>
      </c>
      <c r="C163" s="1" t="s">
        <v>347</v>
      </c>
      <c r="D163" s="1" t="s">
        <v>33</v>
      </c>
      <c r="E163" s="1" t="s">
        <v>34</v>
      </c>
      <c r="F163" s="1">
        <v>3430</v>
      </c>
      <c r="G163" s="1">
        <v>566</v>
      </c>
      <c r="H163" s="1">
        <v>164</v>
      </c>
      <c r="I163" s="1">
        <v>48020</v>
      </c>
      <c r="J163" s="1">
        <v>47305</v>
      </c>
      <c r="K163" s="1">
        <v>120</v>
      </c>
      <c r="L163" s="1" t="s">
        <v>44</v>
      </c>
      <c r="M163" s="1" t="s">
        <v>25</v>
      </c>
    </row>
    <row r="164" spans="1:13" ht="14.25" customHeight="1">
      <c r="A164" s="1" t="s">
        <v>348</v>
      </c>
      <c r="B164" s="1" t="s">
        <v>31</v>
      </c>
      <c r="C164" s="1" t="s">
        <v>349</v>
      </c>
      <c r="D164" s="1" t="s">
        <v>49</v>
      </c>
      <c r="E164" s="1" t="s">
        <v>50</v>
      </c>
      <c r="F164" s="1">
        <v>4501</v>
      </c>
      <c r="G164" s="1">
        <v>375</v>
      </c>
      <c r="H164" s="1">
        <v>323</v>
      </c>
      <c r="I164" s="1">
        <v>22505</v>
      </c>
      <c r="J164" s="1">
        <v>21836</v>
      </c>
      <c r="K164" s="1">
        <v>132</v>
      </c>
      <c r="L164" s="1" t="s">
        <v>24</v>
      </c>
      <c r="M164" s="1" t="s">
        <v>55</v>
      </c>
    </row>
    <row r="165" spans="1:13" ht="14.25" customHeight="1">
      <c r="A165" s="1" t="s">
        <v>350</v>
      </c>
      <c r="B165" s="1" t="s">
        <v>27</v>
      </c>
      <c r="C165" s="1" t="s">
        <v>89</v>
      </c>
      <c r="D165" s="1" t="s">
        <v>22</v>
      </c>
      <c r="E165" s="1" t="s">
        <v>23</v>
      </c>
      <c r="F165" s="1">
        <v>4934</v>
      </c>
      <c r="G165" s="1">
        <v>971</v>
      </c>
      <c r="H165" s="1">
        <v>156</v>
      </c>
      <c r="I165" s="1">
        <v>39472</v>
      </c>
      <c r="J165" s="1">
        <v>39025</v>
      </c>
      <c r="K165" s="1">
        <v>169</v>
      </c>
      <c r="L165" s="1" t="s">
        <v>264</v>
      </c>
      <c r="M165" s="1" t="s">
        <v>25</v>
      </c>
    </row>
    <row r="166" spans="1:13" ht="14.25" customHeight="1">
      <c r="A166" s="1" t="s">
        <v>351</v>
      </c>
      <c r="B166" s="1" t="s">
        <v>14</v>
      </c>
      <c r="C166" s="1" t="s">
        <v>232</v>
      </c>
      <c r="D166" s="1" t="s">
        <v>22</v>
      </c>
      <c r="E166" s="1" t="s">
        <v>23</v>
      </c>
      <c r="F166" s="1">
        <v>3239</v>
      </c>
      <c r="G166" s="1">
        <v>43</v>
      </c>
      <c r="H166" s="1">
        <v>211</v>
      </c>
      <c r="I166" s="1">
        <v>22673</v>
      </c>
      <c r="J166" s="1">
        <v>22171</v>
      </c>
      <c r="K166" s="1">
        <v>230</v>
      </c>
      <c r="L166" s="1" t="s">
        <v>214</v>
      </c>
      <c r="M166" s="1" t="s">
        <v>25</v>
      </c>
    </row>
    <row r="167" spans="1:13" ht="14.25" customHeight="1">
      <c r="A167" s="1" t="s">
        <v>352</v>
      </c>
      <c r="B167" s="1" t="s">
        <v>14</v>
      </c>
      <c r="C167" s="1" t="s">
        <v>65</v>
      </c>
      <c r="D167" s="1" t="s">
        <v>16</v>
      </c>
      <c r="E167" s="1" t="s">
        <v>17</v>
      </c>
      <c r="F167" s="1">
        <v>1076</v>
      </c>
      <c r="G167" s="1">
        <v>313</v>
      </c>
      <c r="H167" s="1">
        <v>306</v>
      </c>
      <c r="I167" s="1">
        <v>11836</v>
      </c>
      <c r="J167" s="1">
        <v>11596</v>
      </c>
      <c r="K167" s="1">
        <v>104</v>
      </c>
      <c r="L167" s="1" t="s">
        <v>77</v>
      </c>
      <c r="M167" s="1" t="s">
        <v>25</v>
      </c>
    </row>
    <row r="168" spans="1:13" ht="14.25" customHeight="1">
      <c r="A168" s="1" t="s">
        <v>353</v>
      </c>
      <c r="B168" s="1" t="s">
        <v>31</v>
      </c>
      <c r="C168" s="1" t="s">
        <v>304</v>
      </c>
      <c r="D168" s="1" t="s">
        <v>22</v>
      </c>
      <c r="E168" s="1" t="s">
        <v>23</v>
      </c>
      <c r="F168" s="1">
        <v>4771</v>
      </c>
      <c r="G168" s="1">
        <v>818</v>
      </c>
      <c r="H168" s="1">
        <v>56</v>
      </c>
      <c r="I168" s="1">
        <v>57252</v>
      </c>
      <c r="J168" s="1">
        <v>56378</v>
      </c>
      <c r="K168" s="1">
        <v>150</v>
      </c>
      <c r="L168" s="1" t="s">
        <v>18</v>
      </c>
      <c r="M168" s="1" t="s">
        <v>25</v>
      </c>
    </row>
    <row r="169" spans="1:13" ht="14.25" customHeight="1">
      <c r="A169" s="1" t="s">
        <v>354</v>
      </c>
      <c r="B169" s="1" t="s">
        <v>40</v>
      </c>
      <c r="C169" s="1" t="s">
        <v>355</v>
      </c>
      <c r="D169" s="1" t="s">
        <v>22</v>
      </c>
      <c r="E169" s="1" t="s">
        <v>23</v>
      </c>
      <c r="F169" s="1">
        <v>2418</v>
      </c>
      <c r="G169" s="1">
        <v>754</v>
      </c>
      <c r="H169" s="1">
        <v>54</v>
      </c>
      <c r="I169" s="1">
        <v>43524</v>
      </c>
      <c r="J169" s="1">
        <v>42743</v>
      </c>
      <c r="K169" s="1">
        <v>182</v>
      </c>
      <c r="L169" s="1" t="s">
        <v>285</v>
      </c>
      <c r="M169" s="1" t="s">
        <v>55</v>
      </c>
    </row>
    <row r="170" spans="1:13" ht="14.25" customHeight="1">
      <c r="A170" s="1" t="s">
        <v>356</v>
      </c>
      <c r="B170" s="1" t="s">
        <v>27</v>
      </c>
      <c r="C170" s="1" t="s">
        <v>357</v>
      </c>
      <c r="D170" s="1" t="s">
        <v>69</v>
      </c>
      <c r="E170" s="1" t="s">
        <v>70</v>
      </c>
      <c r="F170" s="1">
        <v>3809</v>
      </c>
      <c r="G170" s="1">
        <v>273</v>
      </c>
      <c r="H170" s="1">
        <v>200</v>
      </c>
      <c r="I170" s="1">
        <v>34281</v>
      </c>
      <c r="J170" s="1">
        <v>33534</v>
      </c>
      <c r="K170" s="1">
        <v>83</v>
      </c>
      <c r="L170" s="1" t="s">
        <v>44</v>
      </c>
      <c r="M170" s="1" t="s">
        <v>38</v>
      </c>
    </row>
    <row r="171" spans="1:13" ht="14.25" customHeight="1">
      <c r="A171" s="1" t="s">
        <v>358</v>
      </c>
      <c r="B171" s="1" t="s">
        <v>14</v>
      </c>
      <c r="C171" s="1" t="s">
        <v>359</v>
      </c>
      <c r="D171" s="1" t="s">
        <v>22</v>
      </c>
      <c r="E171" s="1" t="s">
        <v>23</v>
      </c>
      <c r="F171" s="1">
        <v>3577</v>
      </c>
      <c r="G171" s="1">
        <v>596</v>
      </c>
      <c r="H171" s="1">
        <v>493</v>
      </c>
      <c r="I171" s="1">
        <v>67963</v>
      </c>
      <c r="J171" s="1">
        <v>67839</v>
      </c>
      <c r="K171" s="1">
        <v>53</v>
      </c>
      <c r="L171" s="1" t="s">
        <v>87</v>
      </c>
      <c r="M171" s="1" t="s">
        <v>55</v>
      </c>
    </row>
    <row r="172" spans="1:13" ht="14.25" customHeight="1">
      <c r="A172" s="1" t="s">
        <v>360</v>
      </c>
      <c r="B172" s="1" t="s">
        <v>27</v>
      </c>
      <c r="C172" s="1" t="s">
        <v>361</v>
      </c>
      <c r="D172" s="1" t="s">
        <v>69</v>
      </c>
      <c r="E172" s="1" t="s">
        <v>70</v>
      </c>
      <c r="F172" s="1">
        <v>1018</v>
      </c>
      <c r="G172" s="1">
        <v>447</v>
      </c>
      <c r="H172" s="1">
        <v>332</v>
      </c>
      <c r="I172" s="1">
        <v>18324</v>
      </c>
      <c r="J172" s="1">
        <v>18164</v>
      </c>
      <c r="K172" s="1">
        <v>38</v>
      </c>
      <c r="L172" s="1" t="s">
        <v>66</v>
      </c>
      <c r="M172" s="1" t="s">
        <v>55</v>
      </c>
    </row>
    <row r="173" spans="1:13" ht="14.25" customHeight="1">
      <c r="A173" s="1" t="s">
        <v>362</v>
      </c>
      <c r="B173" s="1" t="s">
        <v>40</v>
      </c>
      <c r="C173" s="1" t="s">
        <v>363</v>
      </c>
      <c r="D173" s="1" t="s">
        <v>42</v>
      </c>
      <c r="E173" s="1" t="s">
        <v>43</v>
      </c>
      <c r="F173" s="1">
        <v>3073</v>
      </c>
      <c r="G173" s="1">
        <v>553</v>
      </c>
      <c r="H173" s="1">
        <v>174</v>
      </c>
      <c r="I173" s="1">
        <v>52241</v>
      </c>
      <c r="J173" s="1">
        <v>51605</v>
      </c>
      <c r="K173" s="1">
        <v>246</v>
      </c>
      <c r="L173" s="1" t="s">
        <v>146</v>
      </c>
      <c r="M173" s="1" t="s">
        <v>55</v>
      </c>
    </row>
    <row r="174" spans="1:13" ht="14.25" customHeight="1">
      <c r="A174" s="1" t="s">
        <v>364</v>
      </c>
      <c r="B174" s="1" t="s">
        <v>14</v>
      </c>
      <c r="C174" s="1" t="s">
        <v>365</v>
      </c>
      <c r="D174" s="1" t="s">
        <v>69</v>
      </c>
      <c r="E174" s="1" t="s">
        <v>70</v>
      </c>
      <c r="F174" s="1">
        <v>1330</v>
      </c>
      <c r="G174" s="1">
        <v>925</v>
      </c>
      <c r="H174" s="1">
        <v>35</v>
      </c>
      <c r="I174" s="1">
        <v>15960</v>
      </c>
      <c r="J174" s="1">
        <v>15379</v>
      </c>
      <c r="K174" s="1">
        <v>229</v>
      </c>
      <c r="L174" s="1" t="s">
        <v>178</v>
      </c>
      <c r="M174" s="1" t="s">
        <v>55</v>
      </c>
    </row>
    <row r="175" spans="1:13" ht="14.25" customHeight="1">
      <c r="A175" s="1" t="s">
        <v>366</v>
      </c>
      <c r="B175" s="1" t="s">
        <v>40</v>
      </c>
      <c r="C175" s="1" t="s">
        <v>168</v>
      </c>
      <c r="D175" s="1" t="s">
        <v>22</v>
      </c>
      <c r="E175" s="1" t="s">
        <v>23</v>
      </c>
      <c r="F175" s="1">
        <v>3828</v>
      </c>
      <c r="G175" s="1">
        <v>148</v>
      </c>
      <c r="H175" s="1">
        <v>253</v>
      </c>
      <c r="I175" s="1">
        <v>30624</v>
      </c>
      <c r="J175" s="1">
        <v>30229</v>
      </c>
      <c r="K175" s="1">
        <v>235</v>
      </c>
      <c r="L175" s="1" t="s">
        <v>82</v>
      </c>
      <c r="M175" s="1" t="s">
        <v>55</v>
      </c>
    </row>
    <row r="176" spans="1:13" ht="14.25" customHeight="1">
      <c r="A176" s="1" t="s">
        <v>367</v>
      </c>
      <c r="B176" s="1" t="s">
        <v>31</v>
      </c>
      <c r="C176" s="1" t="s">
        <v>368</v>
      </c>
      <c r="D176" s="1" t="s">
        <v>16</v>
      </c>
      <c r="E176" s="1" t="s">
        <v>17</v>
      </c>
      <c r="F176" s="1">
        <v>142</v>
      </c>
      <c r="G176" s="1">
        <v>784</v>
      </c>
      <c r="H176" s="1">
        <v>183</v>
      </c>
      <c r="I176" s="1">
        <v>1704</v>
      </c>
      <c r="J176" s="1">
        <v>995</v>
      </c>
      <c r="K176" s="1">
        <v>154</v>
      </c>
      <c r="L176" s="1" t="s">
        <v>18</v>
      </c>
      <c r="M176" s="1" t="s">
        <v>19</v>
      </c>
    </row>
    <row r="177" spans="1:13" ht="14.25" customHeight="1">
      <c r="A177" s="1" t="s">
        <v>369</v>
      </c>
      <c r="B177" s="1" t="s">
        <v>40</v>
      </c>
      <c r="C177" s="1" t="s">
        <v>370</v>
      </c>
      <c r="D177" s="1" t="s">
        <v>69</v>
      </c>
      <c r="E177" s="1" t="s">
        <v>70</v>
      </c>
      <c r="F177" s="1">
        <v>3798</v>
      </c>
      <c r="G177" s="1">
        <v>31</v>
      </c>
      <c r="H177" s="1">
        <v>279</v>
      </c>
      <c r="I177" s="1">
        <v>75960</v>
      </c>
      <c r="J177" s="1">
        <v>75813</v>
      </c>
      <c r="K177" s="1">
        <v>266</v>
      </c>
      <c r="L177" s="1" t="s">
        <v>24</v>
      </c>
      <c r="M177" s="1" t="s">
        <v>25</v>
      </c>
    </row>
    <row r="178" spans="1:13" ht="14.25" customHeight="1">
      <c r="A178" s="1" t="s">
        <v>371</v>
      </c>
      <c r="B178" s="1" t="s">
        <v>31</v>
      </c>
      <c r="C178" s="1" t="s">
        <v>372</v>
      </c>
      <c r="D178" s="1" t="s">
        <v>42</v>
      </c>
      <c r="E178" s="1" t="s">
        <v>43</v>
      </c>
      <c r="F178" s="1">
        <v>3099</v>
      </c>
      <c r="G178" s="1">
        <v>694</v>
      </c>
      <c r="H178" s="1">
        <v>171</v>
      </c>
      <c r="I178" s="1">
        <v>43386</v>
      </c>
      <c r="J178" s="1">
        <v>42921</v>
      </c>
      <c r="K178" s="1">
        <v>52</v>
      </c>
      <c r="L178" s="1" t="s">
        <v>77</v>
      </c>
      <c r="M178" s="1" t="s">
        <v>55</v>
      </c>
    </row>
    <row r="179" spans="1:13" ht="14.25" customHeight="1">
      <c r="A179" s="1" t="s">
        <v>373</v>
      </c>
      <c r="B179" s="1" t="s">
        <v>31</v>
      </c>
      <c r="C179" s="1" t="s">
        <v>201</v>
      </c>
      <c r="D179" s="1" t="s">
        <v>69</v>
      </c>
      <c r="E179" s="1" t="s">
        <v>70</v>
      </c>
      <c r="F179" s="1">
        <v>129</v>
      </c>
      <c r="G179" s="1">
        <v>643</v>
      </c>
      <c r="H179" s="1">
        <v>136</v>
      </c>
      <c r="I179" s="1">
        <v>1290</v>
      </c>
      <c r="J179" s="1">
        <v>839</v>
      </c>
      <c r="K179" s="1">
        <v>238</v>
      </c>
      <c r="L179" s="1" t="s">
        <v>162</v>
      </c>
      <c r="M179" s="1" t="s">
        <v>55</v>
      </c>
    </row>
    <row r="180" spans="1:13" ht="14.25" customHeight="1">
      <c r="A180" s="1" t="s">
        <v>374</v>
      </c>
      <c r="B180" s="1" t="s">
        <v>40</v>
      </c>
      <c r="C180" s="1" t="s">
        <v>312</v>
      </c>
      <c r="D180" s="1" t="s">
        <v>42</v>
      </c>
      <c r="E180" s="1" t="s">
        <v>43</v>
      </c>
      <c r="F180" s="1">
        <v>3796</v>
      </c>
      <c r="G180" s="1">
        <v>667</v>
      </c>
      <c r="H180" s="1">
        <v>395</v>
      </c>
      <c r="I180" s="1">
        <v>64532</v>
      </c>
      <c r="J180" s="1">
        <v>63550</v>
      </c>
      <c r="K180" s="1">
        <v>292</v>
      </c>
      <c r="L180" s="1" t="s">
        <v>58</v>
      </c>
      <c r="M180" s="1" t="s">
        <v>19</v>
      </c>
    </row>
    <row r="181" spans="1:13" ht="14.25" customHeight="1">
      <c r="A181" s="1" t="s">
        <v>375</v>
      </c>
      <c r="B181" s="1" t="s">
        <v>27</v>
      </c>
      <c r="C181" s="1" t="s">
        <v>357</v>
      </c>
      <c r="D181" s="1" t="s">
        <v>22</v>
      </c>
      <c r="E181" s="1" t="s">
        <v>23</v>
      </c>
      <c r="F181" s="1">
        <v>3711</v>
      </c>
      <c r="G181" s="1">
        <v>352</v>
      </c>
      <c r="H181" s="1">
        <v>290</v>
      </c>
      <c r="I181" s="1">
        <v>48243</v>
      </c>
      <c r="J181" s="1">
        <v>47579</v>
      </c>
      <c r="K181" s="1">
        <v>11</v>
      </c>
      <c r="L181" s="1" t="s">
        <v>162</v>
      </c>
      <c r="M181" s="1" t="s">
        <v>55</v>
      </c>
    </row>
    <row r="182" spans="1:13" ht="14.25" customHeight="1">
      <c r="A182" s="1" t="s">
        <v>376</v>
      </c>
      <c r="B182" s="1" t="s">
        <v>27</v>
      </c>
      <c r="C182" s="1" t="s">
        <v>377</v>
      </c>
      <c r="D182" s="1" t="s">
        <v>49</v>
      </c>
      <c r="E182" s="1" t="s">
        <v>50</v>
      </c>
      <c r="F182" s="1">
        <v>606</v>
      </c>
      <c r="G182" s="1">
        <v>789</v>
      </c>
      <c r="H182" s="1">
        <v>470</v>
      </c>
      <c r="I182" s="1">
        <v>7878</v>
      </c>
      <c r="J182" s="1">
        <v>7389</v>
      </c>
      <c r="K182" s="1">
        <v>239</v>
      </c>
      <c r="L182" s="1" t="s">
        <v>18</v>
      </c>
      <c r="M182" s="1" t="s">
        <v>25</v>
      </c>
    </row>
    <row r="183" spans="1:13" ht="14.25" customHeight="1">
      <c r="A183" s="1" t="s">
        <v>378</v>
      </c>
      <c r="B183" s="1" t="s">
        <v>40</v>
      </c>
      <c r="C183" s="1" t="s">
        <v>111</v>
      </c>
      <c r="D183" s="1" t="s">
        <v>49</v>
      </c>
      <c r="E183" s="1" t="s">
        <v>50</v>
      </c>
      <c r="F183" s="1">
        <v>4689</v>
      </c>
      <c r="G183" s="1">
        <v>134</v>
      </c>
      <c r="H183" s="1">
        <v>403</v>
      </c>
      <c r="I183" s="1">
        <v>51579</v>
      </c>
      <c r="J183" s="1">
        <v>50924</v>
      </c>
      <c r="K183" s="1">
        <v>173</v>
      </c>
      <c r="L183" s="1" t="s">
        <v>77</v>
      </c>
      <c r="M183" s="1" t="s">
        <v>19</v>
      </c>
    </row>
    <row r="184" spans="1:13" ht="14.25" customHeight="1">
      <c r="A184" s="1" t="s">
        <v>379</v>
      </c>
      <c r="B184" s="1" t="s">
        <v>31</v>
      </c>
      <c r="C184" s="1" t="s">
        <v>380</v>
      </c>
      <c r="D184" s="1" t="s">
        <v>33</v>
      </c>
      <c r="E184" s="1" t="s">
        <v>34</v>
      </c>
      <c r="F184" s="1">
        <v>360</v>
      </c>
      <c r="G184" s="1">
        <v>590</v>
      </c>
      <c r="H184" s="1">
        <v>393</v>
      </c>
      <c r="I184" s="1">
        <v>4680</v>
      </c>
      <c r="J184" s="1">
        <v>4322</v>
      </c>
      <c r="K184" s="1">
        <v>208</v>
      </c>
      <c r="L184" s="1" t="s">
        <v>162</v>
      </c>
      <c r="M184" s="1" t="s">
        <v>25</v>
      </c>
    </row>
    <row r="185" spans="1:13" ht="14.25" customHeight="1">
      <c r="A185" s="1" t="s">
        <v>381</v>
      </c>
      <c r="B185" s="1" t="s">
        <v>14</v>
      </c>
      <c r="C185" s="1" t="s">
        <v>382</v>
      </c>
      <c r="D185" s="1" t="s">
        <v>49</v>
      </c>
      <c r="E185" s="1" t="s">
        <v>50</v>
      </c>
      <c r="F185" s="1">
        <v>3215</v>
      </c>
      <c r="G185" s="1">
        <v>960</v>
      </c>
      <c r="H185" s="1">
        <v>202</v>
      </c>
      <c r="I185" s="1">
        <v>32150</v>
      </c>
      <c r="J185" s="1">
        <v>31404</v>
      </c>
      <c r="K185" s="1">
        <v>251</v>
      </c>
      <c r="L185" s="1" t="s">
        <v>58</v>
      </c>
      <c r="M185" s="1" t="s">
        <v>38</v>
      </c>
    </row>
    <row r="186" spans="1:13" ht="14.25" customHeight="1">
      <c r="A186" s="1" t="s">
        <v>383</v>
      </c>
      <c r="B186" s="1" t="s">
        <v>31</v>
      </c>
      <c r="C186" s="1" t="s">
        <v>384</v>
      </c>
      <c r="D186" s="1" t="s">
        <v>42</v>
      </c>
      <c r="E186" s="1" t="s">
        <v>43</v>
      </c>
      <c r="F186" s="1">
        <v>4523</v>
      </c>
      <c r="G186" s="1">
        <v>61</v>
      </c>
      <c r="H186" s="1">
        <v>157</v>
      </c>
      <c r="I186" s="1">
        <v>49753</v>
      </c>
      <c r="J186" s="1">
        <v>49329</v>
      </c>
      <c r="K186" s="1">
        <v>71</v>
      </c>
      <c r="L186" s="1" t="s">
        <v>102</v>
      </c>
      <c r="M186" s="1" t="s">
        <v>55</v>
      </c>
    </row>
    <row r="187" spans="1:13" ht="14.25" customHeight="1">
      <c r="A187" s="1" t="s">
        <v>385</v>
      </c>
      <c r="B187" s="1" t="s">
        <v>40</v>
      </c>
      <c r="C187" s="1" t="s">
        <v>343</v>
      </c>
      <c r="D187" s="1" t="s">
        <v>42</v>
      </c>
      <c r="E187" s="1" t="s">
        <v>43</v>
      </c>
      <c r="F187" s="1">
        <v>4292</v>
      </c>
      <c r="G187" s="1">
        <v>51</v>
      </c>
      <c r="H187" s="1">
        <v>392</v>
      </c>
      <c r="I187" s="1">
        <v>55796</v>
      </c>
      <c r="J187" s="1">
        <v>54826</v>
      </c>
      <c r="K187" s="1">
        <v>264</v>
      </c>
      <c r="L187" s="1" t="s">
        <v>214</v>
      </c>
      <c r="M187" s="1" t="s">
        <v>19</v>
      </c>
    </row>
    <row r="188" spans="1:13" ht="14.25" customHeight="1">
      <c r="A188" s="1" t="s">
        <v>386</v>
      </c>
      <c r="B188" s="1" t="s">
        <v>14</v>
      </c>
      <c r="C188" s="1" t="s">
        <v>387</v>
      </c>
      <c r="D188" s="1" t="s">
        <v>16</v>
      </c>
      <c r="E188" s="1" t="s">
        <v>17</v>
      </c>
      <c r="F188" s="1">
        <v>1644</v>
      </c>
      <c r="G188" s="1">
        <v>546</v>
      </c>
      <c r="H188" s="1">
        <v>150</v>
      </c>
      <c r="I188" s="1">
        <v>27948</v>
      </c>
      <c r="J188" s="1">
        <v>27184</v>
      </c>
      <c r="K188" s="1">
        <v>300</v>
      </c>
      <c r="L188" s="1" t="s">
        <v>102</v>
      </c>
      <c r="M188" s="1" t="s">
        <v>19</v>
      </c>
    </row>
    <row r="189" spans="1:13" ht="14.25" customHeight="1">
      <c r="A189" s="1" t="s">
        <v>388</v>
      </c>
      <c r="B189" s="1" t="s">
        <v>27</v>
      </c>
      <c r="C189" s="1" t="s">
        <v>221</v>
      </c>
      <c r="D189" s="1" t="s">
        <v>16</v>
      </c>
      <c r="E189" s="1" t="s">
        <v>17</v>
      </c>
      <c r="F189" s="1">
        <v>2728</v>
      </c>
      <c r="G189" s="1">
        <v>533</v>
      </c>
      <c r="H189" s="1">
        <v>215</v>
      </c>
      <c r="I189" s="1">
        <v>40920</v>
      </c>
      <c r="J189" s="1">
        <v>40816</v>
      </c>
      <c r="K189" s="1">
        <v>137</v>
      </c>
      <c r="L189" s="1" t="s">
        <v>18</v>
      </c>
      <c r="M189" s="1" t="s">
        <v>25</v>
      </c>
    </row>
    <row r="190" spans="1:13" ht="14.25" customHeight="1">
      <c r="A190" s="1" t="s">
        <v>389</v>
      </c>
      <c r="B190" s="1" t="s">
        <v>40</v>
      </c>
      <c r="C190" s="1" t="s">
        <v>229</v>
      </c>
      <c r="D190" s="1" t="s">
        <v>16</v>
      </c>
      <c r="E190" s="1" t="s">
        <v>17</v>
      </c>
      <c r="F190" s="1">
        <v>3360</v>
      </c>
      <c r="G190" s="1">
        <v>525</v>
      </c>
      <c r="H190" s="1">
        <v>500</v>
      </c>
      <c r="I190" s="1">
        <v>60480</v>
      </c>
      <c r="J190" s="1">
        <v>59610</v>
      </c>
      <c r="K190" s="1">
        <v>192</v>
      </c>
      <c r="L190" s="1" t="s">
        <v>82</v>
      </c>
      <c r="M190" s="1" t="s">
        <v>19</v>
      </c>
    </row>
    <row r="191" spans="1:13" ht="14.25" customHeight="1">
      <c r="A191" s="1" t="s">
        <v>390</v>
      </c>
      <c r="B191" s="1" t="s">
        <v>27</v>
      </c>
      <c r="C191" s="1" t="s">
        <v>391</v>
      </c>
      <c r="D191" s="1" t="s">
        <v>22</v>
      </c>
      <c r="E191" s="1" t="s">
        <v>23</v>
      </c>
      <c r="F191" s="1">
        <v>1963</v>
      </c>
      <c r="G191" s="1">
        <v>213</v>
      </c>
      <c r="H191" s="1">
        <v>19</v>
      </c>
      <c r="I191" s="1">
        <v>39260</v>
      </c>
      <c r="J191" s="1">
        <v>38771</v>
      </c>
      <c r="K191" s="1">
        <v>145</v>
      </c>
      <c r="L191" s="1" t="s">
        <v>58</v>
      </c>
      <c r="M191" s="1" t="s">
        <v>19</v>
      </c>
    </row>
    <row r="192" spans="1:13" ht="14.25" customHeight="1">
      <c r="A192" s="1" t="s">
        <v>392</v>
      </c>
      <c r="B192" s="1" t="s">
        <v>27</v>
      </c>
      <c r="C192" s="1" t="s">
        <v>357</v>
      </c>
      <c r="D192" s="1" t="s">
        <v>33</v>
      </c>
      <c r="E192" s="1" t="s">
        <v>34</v>
      </c>
      <c r="F192" s="1">
        <v>4285</v>
      </c>
      <c r="G192" s="1">
        <v>886</v>
      </c>
      <c r="H192" s="1">
        <v>376</v>
      </c>
      <c r="I192" s="1">
        <v>55705</v>
      </c>
      <c r="J192" s="1">
        <v>55556</v>
      </c>
      <c r="K192" s="1">
        <v>51</v>
      </c>
      <c r="L192" s="1" t="s">
        <v>71</v>
      </c>
      <c r="M192" s="1" t="s">
        <v>55</v>
      </c>
    </row>
    <row r="193" spans="1:13" ht="14.25" customHeight="1">
      <c r="A193" s="1" t="s">
        <v>393</v>
      </c>
      <c r="B193" s="1" t="s">
        <v>31</v>
      </c>
      <c r="C193" s="1" t="s">
        <v>394</v>
      </c>
      <c r="D193" s="1" t="s">
        <v>69</v>
      </c>
      <c r="E193" s="1" t="s">
        <v>70</v>
      </c>
      <c r="F193" s="1">
        <v>1176</v>
      </c>
      <c r="G193" s="1">
        <v>464</v>
      </c>
      <c r="H193" s="1">
        <v>394</v>
      </c>
      <c r="I193" s="1">
        <v>14112</v>
      </c>
      <c r="J193" s="1">
        <v>13588</v>
      </c>
      <c r="K193" s="1">
        <v>272</v>
      </c>
      <c r="L193" s="1" t="s">
        <v>77</v>
      </c>
      <c r="M193" s="1" t="s">
        <v>19</v>
      </c>
    </row>
    <row r="194" spans="1:13" ht="14.25" customHeight="1">
      <c r="A194" s="1" t="s">
        <v>395</v>
      </c>
      <c r="B194" s="1" t="s">
        <v>14</v>
      </c>
      <c r="C194" s="1" t="s">
        <v>396</v>
      </c>
      <c r="D194" s="1" t="s">
        <v>49</v>
      </c>
      <c r="E194" s="1" t="s">
        <v>50</v>
      </c>
      <c r="F194" s="1">
        <v>4858</v>
      </c>
      <c r="G194" s="1">
        <v>317</v>
      </c>
      <c r="H194" s="1">
        <v>129</v>
      </c>
      <c r="I194" s="1">
        <v>53438</v>
      </c>
      <c r="J194" s="1">
        <v>52687</v>
      </c>
      <c r="K194" s="1">
        <v>223</v>
      </c>
      <c r="L194" s="1" t="s">
        <v>178</v>
      </c>
      <c r="M194" s="1" t="s">
        <v>19</v>
      </c>
    </row>
    <row r="195" spans="1:13" ht="14.25" customHeight="1">
      <c r="A195" s="1" t="s">
        <v>397</v>
      </c>
      <c r="B195" s="1" t="s">
        <v>27</v>
      </c>
      <c r="C195" s="1" t="s">
        <v>270</v>
      </c>
      <c r="D195" s="1" t="s">
        <v>33</v>
      </c>
      <c r="E195" s="1" t="s">
        <v>34</v>
      </c>
      <c r="F195" s="1">
        <v>4350</v>
      </c>
      <c r="G195" s="1">
        <v>771</v>
      </c>
      <c r="H195" s="1">
        <v>7</v>
      </c>
      <c r="I195" s="1">
        <v>60900</v>
      </c>
      <c r="J195" s="1">
        <v>60592</v>
      </c>
      <c r="K195" s="1">
        <v>195</v>
      </c>
      <c r="L195" s="1" t="s">
        <v>264</v>
      </c>
      <c r="M195" s="1" t="s">
        <v>25</v>
      </c>
    </row>
    <row r="196" spans="1:13" ht="14.25" customHeight="1">
      <c r="A196" s="1" t="s">
        <v>398</v>
      </c>
      <c r="B196" s="1" t="s">
        <v>31</v>
      </c>
      <c r="C196" s="1" t="s">
        <v>399</v>
      </c>
      <c r="D196" s="1" t="s">
        <v>42</v>
      </c>
      <c r="E196" s="1" t="s">
        <v>43</v>
      </c>
      <c r="F196" s="1">
        <v>914</v>
      </c>
      <c r="G196" s="1">
        <v>464</v>
      </c>
      <c r="H196" s="1">
        <v>246</v>
      </c>
      <c r="I196" s="1">
        <v>11882</v>
      </c>
      <c r="J196" s="1">
        <v>11500</v>
      </c>
      <c r="K196" s="1">
        <v>282</v>
      </c>
      <c r="L196" s="1" t="s">
        <v>285</v>
      </c>
      <c r="M196" s="1" t="s">
        <v>38</v>
      </c>
    </row>
    <row r="197" spans="1:13" ht="14.25" customHeight="1">
      <c r="A197" s="1" t="s">
        <v>400</v>
      </c>
      <c r="B197" s="1" t="s">
        <v>31</v>
      </c>
      <c r="C197" s="1" t="s">
        <v>401</v>
      </c>
      <c r="D197" s="1" t="s">
        <v>22</v>
      </c>
      <c r="E197" s="1" t="s">
        <v>23</v>
      </c>
      <c r="F197" s="1">
        <v>1813</v>
      </c>
      <c r="G197" s="1">
        <v>623</v>
      </c>
      <c r="H197" s="1">
        <v>72</v>
      </c>
      <c r="I197" s="1">
        <v>19943</v>
      </c>
      <c r="J197" s="1">
        <v>18959</v>
      </c>
      <c r="K197" s="1">
        <v>85</v>
      </c>
      <c r="L197" s="1" t="s">
        <v>105</v>
      </c>
      <c r="M197" s="1" t="s">
        <v>38</v>
      </c>
    </row>
    <row r="198" spans="1:13" ht="14.25" customHeight="1">
      <c r="A198" s="1" t="s">
        <v>402</v>
      </c>
      <c r="B198" s="1" t="s">
        <v>14</v>
      </c>
      <c r="C198" s="1" t="s">
        <v>336</v>
      </c>
      <c r="D198" s="1" t="s">
        <v>16</v>
      </c>
      <c r="E198" s="1" t="s">
        <v>17</v>
      </c>
      <c r="F198" s="1">
        <v>4782</v>
      </c>
      <c r="G198" s="1">
        <v>721</v>
      </c>
      <c r="H198" s="1">
        <v>82</v>
      </c>
      <c r="I198" s="1">
        <v>86076</v>
      </c>
      <c r="J198" s="1">
        <v>85339</v>
      </c>
      <c r="K198" s="1">
        <v>19</v>
      </c>
      <c r="L198" s="1" t="s">
        <v>77</v>
      </c>
      <c r="M198" s="1" t="s">
        <v>25</v>
      </c>
    </row>
    <row r="199" spans="1:13" ht="14.25" customHeight="1">
      <c r="A199" s="1" t="s">
        <v>403</v>
      </c>
      <c r="B199" s="1" t="s">
        <v>14</v>
      </c>
      <c r="C199" s="1" t="s">
        <v>404</v>
      </c>
      <c r="D199" s="1" t="s">
        <v>49</v>
      </c>
      <c r="E199" s="1" t="s">
        <v>50</v>
      </c>
      <c r="F199" s="1">
        <v>1048</v>
      </c>
      <c r="G199" s="1">
        <v>374</v>
      </c>
      <c r="H199" s="1">
        <v>450</v>
      </c>
      <c r="I199" s="1">
        <v>9432</v>
      </c>
      <c r="J199" s="1">
        <v>8882</v>
      </c>
      <c r="K199" s="1">
        <v>158</v>
      </c>
      <c r="L199" s="1" t="s">
        <v>209</v>
      </c>
      <c r="M199" s="1" t="s">
        <v>25</v>
      </c>
    </row>
    <row r="200" spans="1:13" ht="14.25" customHeight="1">
      <c r="A200" s="1" t="s">
        <v>405</v>
      </c>
      <c r="B200" s="1" t="s">
        <v>27</v>
      </c>
      <c r="C200" s="1" t="s">
        <v>118</v>
      </c>
      <c r="D200" s="1" t="s">
        <v>42</v>
      </c>
      <c r="E200" s="1" t="s">
        <v>43</v>
      </c>
      <c r="F200" s="1">
        <v>2509</v>
      </c>
      <c r="G200" s="1">
        <v>324</v>
      </c>
      <c r="H200" s="1">
        <v>171</v>
      </c>
      <c r="I200" s="1">
        <v>35126</v>
      </c>
      <c r="J200" s="1">
        <v>34685</v>
      </c>
      <c r="K200" s="1">
        <v>277</v>
      </c>
      <c r="L200" s="1" t="s">
        <v>77</v>
      </c>
      <c r="M200" s="1" t="s">
        <v>25</v>
      </c>
    </row>
    <row r="201" spans="1:13" ht="14.25" customHeight="1">
      <c r="A201" s="1" t="s">
        <v>406</v>
      </c>
      <c r="B201" s="1" t="s">
        <v>40</v>
      </c>
      <c r="C201" s="1" t="s">
        <v>407</v>
      </c>
      <c r="D201" s="1" t="s">
        <v>16</v>
      </c>
      <c r="E201" s="1" t="s">
        <v>17</v>
      </c>
      <c r="F201" s="1">
        <v>3718</v>
      </c>
      <c r="G201" s="1">
        <v>385</v>
      </c>
      <c r="H201" s="1">
        <v>310</v>
      </c>
      <c r="I201" s="1">
        <v>70642</v>
      </c>
      <c r="J201" s="1">
        <v>69749</v>
      </c>
      <c r="K201" s="1">
        <v>233</v>
      </c>
      <c r="L201" s="1" t="s">
        <v>44</v>
      </c>
      <c r="M201" s="1" t="s">
        <v>19</v>
      </c>
    </row>
    <row r="202" spans="1:13" ht="14.25" customHeight="1">
      <c r="A202" s="1" t="s">
        <v>408</v>
      </c>
      <c r="B202" s="1" t="s">
        <v>14</v>
      </c>
      <c r="C202" s="1" t="s">
        <v>409</v>
      </c>
      <c r="D202" s="1" t="s">
        <v>16</v>
      </c>
      <c r="E202" s="1" t="s">
        <v>17</v>
      </c>
      <c r="F202" s="1">
        <v>802</v>
      </c>
      <c r="G202" s="1">
        <v>262</v>
      </c>
      <c r="H202" s="1">
        <v>244</v>
      </c>
      <c r="I202" s="1">
        <v>14436</v>
      </c>
      <c r="J202" s="1">
        <v>14280</v>
      </c>
      <c r="K202" s="1">
        <v>49</v>
      </c>
      <c r="L202" s="1" t="s">
        <v>74</v>
      </c>
      <c r="M202" s="1" t="s">
        <v>55</v>
      </c>
    </row>
    <row r="203" spans="1:13" ht="14.25" customHeight="1">
      <c r="A203" s="1" t="s">
        <v>410</v>
      </c>
      <c r="B203" s="1" t="s">
        <v>40</v>
      </c>
      <c r="C203" s="1" t="s">
        <v>411</v>
      </c>
      <c r="D203" s="1" t="s">
        <v>49</v>
      </c>
      <c r="E203" s="1" t="s">
        <v>50</v>
      </c>
      <c r="F203" s="1">
        <v>1871</v>
      </c>
      <c r="G203" s="1">
        <v>252</v>
      </c>
      <c r="H203" s="1">
        <v>335</v>
      </c>
      <c r="I203" s="1">
        <v>29936</v>
      </c>
      <c r="J203" s="1">
        <v>29576</v>
      </c>
      <c r="K203" s="1">
        <v>288</v>
      </c>
      <c r="L203" s="1" t="s">
        <v>44</v>
      </c>
      <c r="M203" s="1" t="s">
        <v>25</v>
      </c>
    </row>
    <row r="204" spans="1:13" ht="14.25" customHeight="1">
      <c r="A204" s="1" t="s">
        <v>412</v>
      </c>
      <c r="B204" s="1" t="s">
        <v>31</v>
      </c>
      <c r="C204" s="1" t="s">
        <v>413</v>
      </c>
      <c r="D204" s="1" t="s">
        <v>42</v>
      </c>
      <c r="E204" s="1" t="s">
        <v>43</v>
      </c>
      <c r="F204" s="1">
        <v>3773</v>
      </c>
      <c r="G204" s="1">
        <v>299</v>
      </c>
      <c r="H204" s="1">
        <v>38</v>
      </c>
      <c r="I204" s="1">
        <v>71687</v>
      </c>
      <c r="J204" s="1">
        <v>71447</v>
      </c>
      <c r="K204" s="1">
        <v>286</v>
      </c>
      <c r="L204" s="1" t="s">
        <v>44</v>
      </c>
      <c r="M204" s="1" t="s">
        <v>55</v>
      </c>
    </row>
    <row r="205" spans="1:13" ht="14.25" customHeight="1">
      <c r="A205" s="1" t="s">
        <v>414</v>
      </c>
      <c r="B205" s="1" t="s">
        <v>31</v>
      </c>
      <c r="C205" s="1" t="s">
        <v>331</v>
      </c>
      <c r="D205" s="1" t="s">
        <v>42</v>
      </c>
      <c r="E205" s="1" t="s">
        <v>43</v>
      </c>
      <c r="F205" s="1">
        <v>2234</v>
      </c>
      <c r="G205" s="1">
        <v>653</v>
      </c>
      <c r="H205" s="1">
        <v>432</v>
      </c>
      <c r="I205" s="1">
        <v>11170</v>
      </c>
      <c r="J205" s="1">
        <v>10569</v>
      </c>
      <c r="K205" s="1">
        <v>198</v>
      </c>
      <c r="L205" s="1" t="s">
        <v>264</v>
      </c>
      <c r="M205" s="1" t="s">
        <v>55</v>
      </c>
    </row>
    <row r="206" spans="1:13" ht="14.25" customHeight="1">
      <c r="A206" s="1" t="s">
        <v>415</v>
      </c>
      <c r="B206" s="1" t="s">
        <v>14</v>
      </c>
      <c r="C206" s="1" t="s">
        <v>302</v>
      </c>
      <c r="D206" s="1" t="s">
        <v>69</v>
      </c>
      <c r="E206" s="1" t="s">
        <v>70</v>
      </c>
      <c r="F206" s="1">
        <v>3820</v>
      </c>
      <c r="G206" s="1">
        <v>697</v>
      </c>
      <c r="H206" s="1">
        <v>268</v>
      </c>
      <c r="I206" s="1">
        <v>45840</v>
      </c>
      <c r="J206" s="1">
        <v>45631</v>
      </c>
      <c r="K206" s="1">
        <v>171</v>
      </c>
      <c r="L206" s="1" t="s">
        <v>162</v>
      </c>
      <c r="M206" s="1" t="s">
        <v>19</v>
      </c>
    </row>
    <row r="207" spans="1:13" ht="14.25" customHeight="1">
      <c r="A207" s="1" t="s">
        <v>416</v>
      </c>
      <c r="B207" s="1" t="s">
        <v>14</v>
      </c>
      <c r="C207" s="1" t="s">
        <v>46</v>
      </c>
      <c r="D207" s="1" t="s">
        <v>22</v>
      </c>
      <c r="E207" s="1" t="s">
        <v>23</v>
      </c>
      <c r="F207" s="1">
        <v>941</v>
      </c>
      <c r="G207" s="1">
        <v>121</v>
      </c>
      <c r="H207" s="1">
        <v>458</v>
      </c>
      <c r="I207" s="1">
        <v>14115</v>
      </c>
      <c r="J207" s="1">
        <v>13838</v>
      </c>
      <c r="K207" s="1">
        <v>87</v>
      </c>
      <c r="L207" s="1" t="s">
        <v>29</v>
      </c>
      <c r="M207" s="1" t="s">
        <v>25</v>
      </c>
    </row>
    <row r="208" spans="1:13" ht="14.25" customHeight="1">
      <c r="A208" s="1" t="s">
        <v>417</v>
      </c>
      <c r="B208" s="1" t="s">
        <v>14</v>
      </c>
      <c r="C208" s="1" t="s">
        <v>418</v>
      </c>
      <c r="D208" s="1" t="s">
        <v>42</v>
      </c>
      <c r="E208" s="1" t="s">
        <v>43</v>
      </c>
      <c r="F208" s="1">
        <v>4274</v>
      </c>
      <c r="G208" s="1">
        <v>340</v>
      </c>
      <c r="H208" s="1">
        <v>281</v>
      </c>
      <c r="I208" s="1">
        <v>34192</v>
      </c>
      <c r="J208" s="1">
        <v>33446</v>
      </c>
      <c r="K208" s="1">
        <v>129</v>
      </c>
      <c r="L208" s="1" t="s">
        <v>162</v>
      </c>
      <c r="M208" s="1" t="s">
        <v>38</v>
      </c>
    </row>
    <row r="209" spans="1:13" ht="14.25" customHeight="1">
      <c r="A209" s="1" t="s">
        <v>419</v>
      </c>
      <c r="B209" s="1" t="s">
        <v>27</v>
      </c>
      <c r="C209" s="1" t="s">
        <v>46</v>
      </c>
      <c r="D209" s="1" t="s">
        <v>69</v>
      </c>
      <c r="E209" s="1" t="s">
        <v>70</v>
      </c>
      <c r="F209" s="1">
        <v>2949</v>
      </c>
      <c r="G209" s="1">
        <v>476</v>
      </c>
      <c r="H209" s="1">
        <v>403</v>
      </c>
      <c r="I209" s="1">
        <v>44235</v>
      </c>
      <c r="J209" s="1">
        <v>43705</v>
      </c>
      <c r="K209" s="1">
        <v>135</v>
      </c>
      <c r="L209" s="1" t="s">
        <v>116</v>
      </c>
      <c r="M209" s="1" t="s">
        <v>19</v>
      </c>
    </row>
    <row r="210" spans="1:13" ht="14.25" customHeight="1">
      <c r="A210" s="1" t="s">
        <v>420</v>
      </c>
      <c r="B210" s="1" t="s">
        <v>14</v>
      </c>
      <c r="C210" s="1" t="s">
        <v>421</v>
      </c>
      <c r="D210" s="1" t="s">
        <v>69</v>
      </c>
      <c r="E210" s="1" t="s">
        <v>70</v>
      </c>
      <c r="F210" s="1">
        <v>3160</v>
      </c>
      <c r="G210" s="1">
        <v>204</v>
      </c>
      <c r="H210" s="1">
        <v>297</v>
      </c>
      <c r="I210" s="1">
        <v>44240</v>
      </c>
      <c r="J210" s="1">
        <v>43666</v>
      </c>
      <c r="K210" s="1">
        <v>49</v>
      </c>
      <c r="L210" s="1" t="s">
        <v>87</v>
      </c>
      <c r="M210" s="1" t="s">
        <v>19</v>
      </c>
    </row>
    <row r="211" spans="1:13" ht="14.25" customHeight="1">
      <c r="A211" s="1" t="s">
        <v>422</v>
      </c>
      <c r="B211" s="1" t="s">
        <v>27</v>
      </c>
      <c r="C211" s="1" t="s">
        <v>345</v>
      </c>
      <c r="D211" s="1" t="s">
        <v>49</v>
      </c>
      <c r="E211" s="1" t="s">
        <v>50</v>
      </c>
      <c r="F211" s="1">
        <v>257</v>
      </c>
      <c r="G211" s="1">
        <v>966</v>
      </c>
      <c r="H211" s="1">
        <v>398</v>
      </c>
      <c r="I211" s="1">
        <v>3341</v>
      </c>
      <c r="J211" s="1">
        <v>2753</v>
      </c>
      <c r="K211" s="1">
        <v>287</v>
      </c>
      <c r="L211" s="1" t="s">
        <v>209</v>
      </c>
      <c r="M211" s="1" t="s">
        <v>19</v>
      </c>
    </row>
    <row r="212" spans="1:13" ht="14.25" customHeight="1">
      <c r="A212" s="1" t="s">
        <v>423</v>
      </c>
      <c r="B212" s="1" t="s">
        <v>14</v>
      </c>
      <c r="C212" s="1" t="s">
        <v>424</v>
      </c>
      <c r="D212" s="1" t="s">
        <v>42</v>
      </c>
      <c r="E212" s="1" t="s">
        <v>43</v>
      </c>
      <c r="F212" s="1">
        <v>2120</v>
      </c>
      <c r="G212" s="1">
        <v>38</v>
      </c>
      <c r="H212" s="1">
        <v>212</v>
      </c>
      <c r="I212" s="1">
        <v>12720</v>
      </c>
      <c r="J212" s="1">
        <v>12564</v>
      </c>
      <c r="K212" s="1">
        <v>21</v>
      </c>
      <c r="L212" s="1" t="s">
        <v>209</v>
      </c>
      <c r="M212" s="1" t="s">
        <v>19</v>
      </c>
    </row>
    <row r="213" spans="1:13" ht="14.25" customHeight="1">
      <c r="A213" s="1" t="s">
        <v>425</v>
      </c>
      <c r="B213" s="1" t="s">
        <v>27</v>
      </c>
      <c r="C213" s="1" t="s">
        <v>193</v>
      </c>
      <c r="D213" s="1" t="s">
        <v>69</v>
      </c>
      <c r="E213" s="1" t="s">
        <v>70</v>
      </c>
      <c r="F213" s="1">
        <v>3874</v>
      </c>
      <c r="G213" s="1">
        <v>884</v>
      </c>
      <c r="H213" s="1">
        <v>19</v>
      </c>
      <c r="I213" s="1">
        <v>38740</v>
      </c>
      <c r="J213" s="1">
        <v>38552</v>
      </c>
      <c r="K213" s="1">
        <v>219</v>
      </c>
      <c r="L213" s="1" t="s">
        <v>58</v>
      </c>
      <c r="M213" s="1" t="s">
        <v>55</v>
      </c>
    </row>
    <row r="214" spans="1:13" ht="14.25" customHeight="1">
      <c r="A214" s="1" t="s">
        <v>426</v>
      </c>
      <c r="B214" s="1" t="s">
        <v>40</v>
      </c>
      <c r="C214" s="1" t="s">
        <v>427</v>
      </c>
      <c r="D214" s="1" t="s">
        <v>42</v>
      </c>
      <c r="E214" s="1" t="s">
        <v>43</v>
      </c>
      <c r="F214" s="1">
        <v>2696</v>
      </c>
      <c r="G214" s="1">
        <v>628</v>
      </c>
      <c r="H214" s="1">
        <v>443</v>
      </c>
      <c r="I214" s="1">
        <v>45832</v>
      </c>
      <c r="J214" s="1">
        <v>45632</v>
      </c>
      <c r="K214" s="1">
        <v>248</v>
      </c>
      <c r="L214" s="1" t="s">
        <v>18</v>
      </c>
      <c r="M214" s="1" t="s">
        <v>38</v>
      </c>
    </row>
    <row r="215" spans="1:13" ht="14.25" customHeight="1">
      <c r="A215" s="1" t="s">
        <v>428</v>
      </c>
      <c r="B215" s="1" t="s">
        <v>31</v>
      </c>
      <c r="C215" s="1" t="s">
        <v>15</v>
      </c>
      <c r="D215" s="1" t="s">
        <v>49</v>
      </c>
      <c r="E215" s="1" t="s">
        <v>50</v>
      </c>
      <c r="F215" s="1">
        <v>521</v>
      </c>
      <c r="G215" s="1">
        <v>746</v>
      </c>
      <c r="H215" s="1">
        <v>315</v>
      </c>
      <c r="I215" s="1">
        <v>4168</v>
      </c>
      <c r="J215" s="1">
        <v>3399</v>
      </c>
      <c r="K215" s="1">
        <v>282</v>
      </c>
      <c r="L215" s="1" t="s">
        <v>18</v>
      </c>
      <c r="M215" s="1" t="s">
        <v>19</v>
      </c>
    </row>
    <row r="216" spans="1:13" ht="14.25" customHeight="1">
      <c r="A216" s="1" t="s">
        <v>429</v>
      </c>
      <c r="B216" s="1" t="s">
        <v>40</v>
      </c>
      <c r="C216" s="1" t="s">
        <v>430</v>
      </c>
      <c r="D216" s="1" t="s">
        <v>49</v>
      </c>
      <c r="E216" s="1" t="s">
        <v>50</v>
      </c>
      <c r="F216" s="1">
        <v>4872</v>
      </c>
      <c r="G216" s="1">
        <v>925</v>
      </c>
      <c r="H216" s="1">
        <v>176</v>
      </c>
      <c r="I216" s="1">
        <v>82824</v>
      </c>
      <c r="J216" s="1">
        <v>82543</v>
      </c>
      <c r="K216" s="1">
        <v>89</v>
      </c>
      <c r="L216" s="1" t="s">
        <v>102</v>
      </c>
      <c r="M216" s="1" t="s">
        <v>19</v>
      </c>
    </row>
    <row r="217" spans="1:13" ht="14.25" customHeight="1">
      <c r="A217" s="1" t="s">
        <v>431</v>
      </c>
      <c r="B217" s="1" t="s">
        <v>27</v>
      </c>
      <c r="C217" s="1" t="s">
        <v>263</v>
      </c>
      <c r="D217" s="1" t="s">
        <v>33</v>
      </c>
      <c r="E217" s="1" t="s">
        <v>34</v>
      </c>
      <c r="F217" s="1">
        <v>1509</v>
      </c>
      <c r="G217" s="1">
        <v>88</v>
      </c>
      <c r="H217" s="1">
        <v>163</v>
      </c>
      <c r="I217" s="1">
        <v>30180</v>
      </c>
      <c r="J217" s="1">
        <v>29689</v>
      </c>
      <c r="K217" s="1">
        <v>119</v>
      </c>
      <c r="L217" s="1" t="s">
        <v>44</v>
      </c>
      <c r="M217" s="1" t="s">
        <v>19</v>
      </c>
    </row>
    <row r="218" spans="1:13" ht="14.25" customHeight="1">
      <c r="A218" s="1" t="s">
        <v>432</v>
      </c>
      <c r="B218" s="1" t="s">
        <v>40</v>
      </c>
      <c r="C218" s="1" t="s">
        <v>357</v>
      </c>
      <c r="D218" s="1" t="s">
        <v>49</v>
      </c>
      <c r="E218" s="1" t="s">
        <v>50</v>
      </c>
      <c r="F218" s="1">
        <v>4606</v>
      </c>
      <c r="G218" s="1">
        <v>931</v>
      </c>
      <c r="H218" s="1">
        <v>230</v>
      </c>
      <c r="I218" s="1">
        <v>92120</v>
      </c>
      <c r="J218" s="1">
        <v>91440</v>
      </c>
      <c r="K218" s="1">
        <v>56</v>
      </c>
      <c r="L218" s="1" t="s">
        <v>144</v>
      </c>
      <c r="M218" s="1" t="s">
        <v>38</v>
      </c>
    </row>
    <row r="219" spans="1:13" ht="14.25" customHeight="1">
      <c r="A219" s="1" t="s">
        <v>433</v>
      </c>
      <c r="B219" s="1" t="s">
        <v>40</v>
      </c>
      <c r="C219" s="1" t="s">
        <v>249</v>
      </c>
      <c r="D219" s="1" t="s">
        <v>42</v>
      </c>
      <c r="E219" s="1" t="s">
        <v>43</v>
      </c>
      <c r="F219" s="1">
        <v>1869</v>
      </c>
      <c r="G219" s="1">
        <v>453</v>
      </c>
      <c r="H219" s="1">
        <v>490</v>
      </c>
      <c r="I219" s="1">
        <v>14952</v>
      </c>
      <c r="J219" s="1">
        <v>14309</v>
      </c>
      <c r="K219" s="1">
        <v>275</v>
      </c>
      <c r="L219" s="1" t="s">
        <v>264</v>
      </c>
      <c r="M219" s="1" t="s">
        <v>19</v>
      </c>
    </row>
    <row r="220" spans="1:13" ht="14.25" customHeight="1">
      <c r="A220" s="1" t="s">
        <v>434</v>
      </c>
      <c r="B220" s="1" t="s">
        <v>14</v>
      </c>
      <c r="C220" s="1" t="s">
        <v>170</v>
      </c>
      <c r="D220" s="1" t="s">
        <v>16</v>
      </c>
      <c r="E220" s="1" t="s">
        <v>17</v>
      </c>
      <c r="F220" s="1">
        <v>1188</v>
      </c>
      <c r="G220" s="1">
        <v>470</v>
      </c>
      <c r="H220" s="1">
        <v>174</v>
      </c>
      <c r="I220" s="1">
        <v>7128</v>
      </c>
      <c r="J220" s="1">
        <v>6145</v>
      </c>
      <c r="K220" s="1">
        <v>270</v>
      </c>
      <c r="L220" s="1" t="s">
        <v>37</v>
      </c>
      <c r="M220" s="1" t="s">
        <v>25</v>
      </c>
    </row>
    <row r="221" spans="1:13" ht="14.25" customHeight="1">
      <c r="A221" s="1" t="s">
        <v>435</v>
      </c>
      <c r="B221" s="1" t="s">
        <v>31</v>
      </c>
      <c r="C221" s="1" t="s">
        <v>411</v>
      </c>
      <c r="D221" s="1" t="s">
        <v>33</v>
      </c>
      <c r="E221" s="1" t="s">
        <v>34</v>
      </c>
      <c r="F221" s="1">
        <v>84</v>
      </c>
      <c r="G221" s="1">
        <v>897</v>
      </c>
      <c r="H221" s="1">
        <v>85</v>
      </c>
      <c r="I221" s="1">
        <v>588</v>
      </c>
      <c r="J221" s="1">
        <v>8</v>
      </c>
      <c r="K221" s="1">
        <v>12</v>
      </c>
      <c r="L221" s="1" t="s">
        <v>58</v>
      </c>
      <c r="M221" s="1" t="s">
        <v>25</v>
      </c>
    </row>
    <row r="222" spans="1:13" ht="14.25" customHeight="1">
      <c r="A222" s="1" t="s">
        <v>436</v>
      </c>
      <c r="B222" s="1" t="s">
        <v>40</v>
      </c>
      <c r="C222" s="1" t="s">
        <v>251</v>
      </c>
      <c r="D222" s="1" t="s">
        <v>69</v>
      </c>
      <c r="E222" s="1" t="s">
        <v>70</v>
      </c>
      <c r="F222" s="1">
        <v>4453</v>
      </c>
      <c r="G222" s="1">
        <v>111</v>
      </c>
      <c r="H222" s="1">
        <v>420</v>
      </c>
      <c r="I222" s="1">
        <v>31171</v>
      </c>
      <c r="J222" s="1">
        <v>30565</v>
      </c>
      <c r="K222" s="1">
        <v>23</v>
      </c>
      <c r="L222" s="1" t="s">
        <v>105</v>
      </c>
      <c r="M222" s="1" t="s">
        <v>55</v>
      </c>
    </row>
    <row r="223" spans="1:13" ht="14.25" customHeight="1">
      <c r="A223" s="1" t="s">
        <v>437</v>
      </c>
      <c r="B223" s="1" t="s">
        <v>40</v>
      </c>
      <c r="C223" s="1" t="s">
        <v>438</v>
      </c>
      <c r="D223" s="1" t="s">
        <v>16</v>
      </c>
      <c r="E223" s="1" t="s">
        <v>17</v>
      </c>
      <c r="F223" s="1">
        <v>1814</v>
      </c>
      <c r="G223" s="1">
        <v>653</v>
      </c>
      <c r="H223" s="1">
        <v>363</v>
      </c>
      <c r="I223" s="1">
        <v>25396</v>
      </c>
      <c r="J223" s="1">
        <v>25286</v>
      </c>
      <c r="K223" s="1">
        <v>39</v>
      </c>
      <c r="L223" s="1" t="s">
        <v>58</v>
      </c>
      <c r="M223" s="1" t="s">
        <v>19</v>
      </c>
    </row>
    <row r="224" spans="1:13" ht="14.25" customHeight="1">
      <c r="A224" s="1" t="s">
        <v>439</v>
      </c>
      <c r="B224" s="1" t="s">
        <v>14</v>
      </c>
      <c r="C224" s="1" t="s">
        <v>355</v>
      </c>
      <c r="D224" s="1" t="s">
        <v>49</v>
      </c>
      <c r="E224" s="1" t="s">
        <v>50</v>
      </c>
      <c r="F224" s="1">
        <v>3338</v>
      </c>
      <c r="G224" s="1">
        <v>277</v>
      </c>
      <c r="H224" s="1">
        <v>118</v>
      </c>
      <c r="I224" s="1">
        <v>60084</v>
      </c>
      <c r="J224" s="1">
        <v>59842</v>
      </c>
      <c r="K224" s="1">
        <v>252</v>
      </c>
      <c r="L224" s="1" t="s">
        <v>58</v>
      </c>
      <c r="M224" s="1" t="s">
        <v>19</v>
      </c>
    </row>
    <row r="225" spans="1:13" ht="14.25" customHeight="1">
      <c r="A225" s="1" t="s">
        <v>440</v>
      </c>
      <c r="B225" s="1" t="s">
        <v>40</v>
      </c>
      <c r="C225" s="1" t="s">
        <v>441</v>
      </c>
      <c r="D225" s="1" t="s">
        <v>49</v>
      </c>
      <c r="E225" s="1" t="s">
        <v>50</v>
      </c>
      <c r="F225" s="1">
        <v>602</v>
      </c>
      <c r="G225" s="1">
        <v>594</v>
      </c>
      <c r="H225" s="1">
        <v>156</v>
      </c>
      <c r="I225" s="1">
        <v>4214</v>
      </c>
      <c r="J225" s="1">
        <v>3363</v>
      </c>
      <c r="K225" s="1">
        <v>164</v>
      </c>
      <c r="L225" s="1" t="s">
        <v>18</v>
      </c>
      <c r="M225" s="1" t="s">
        <v>38</v>
      </c>
    </row>
    <row r="226" spans="1:13" ht="14.25" customHeight="1">
      <c r="A226" s="1" t="s">
        <v>442</v>
      </c>
      <c r="B226" s="1" t="s">
        <v>14</v>
      </c>
      <c r="C226" s="1" t="s">
        <v>370</v>
      </c>
      <c r="D226" s="1" t="s">
        <v>42</v>
      </c>
      <c r="E226" s="1" t="s">
        <v>43</v>
      </c>
      <c r="F226" s="1">
        <v>4672</v>
      </c>
      <c r="G226" s="1">
        <v>325</v>
      </c>
      <c r="H226" s="1">
        <v>32</v>
      </c>
      <c r="I226" s="1">
        <v>88768</v>
      </c>
      <c r="J226" s="1">
        <v>87833</v>
      </c>
      <c r="K226" s="1">
        <v>118</v>
      </c>
      <c r="L226" s="1" t="s">
        <v>127</v>
      </c>
      <c r="M226" s="1" t="s">
        <v>38</v>
      </c>
    </row>
    <row r="227" spans="1:13" ht="14.25" customHeight="1">
      <c r="A227" s="1" t="s">
        <v>443</v>
      </c>
      <c r="B227" s="1" t="s">
        <v>31</v>
      </c>
      <c r="C227" s="1" t="s">
        <v>444</v>
      </c>
      <c r="D227" s="1" t="s">
        <v>42</v>
      </c>
      <c r="E227" s="1" t="s">
        <v>43</v>
      </c>
      <c r="F227" s="1">
        <v>1741</v>
      </c>
      <c r="G227" s="1">
        <v>164</v>
      </c>
      <c r="H227" s="1">
        <v>318</v>
      </c>
      <c r="I227" s="1">
        <v>8705</v>
      </c>
      <c r="J227" s="1">
        <v>8272</v>
      </c>
      <c r="K227" s="1">
        <v>121</v>
      </c>
      <c r="L227" s="1" t="s">
        <v>18</v>
      </c>
      <c r="M227" s="1" t="s">
        <v>25</v>
      </c>
    </row>
    <row r="228" spans="1:13" ht="14.25" customHeight="1">
      <c r="A228" s="1" t="s">
        <v>445</v>
      </c>
      <c r="B228" s="1" t="s">
        <v>31</v>
      </c>
      <c r="C228" s="1" t="s">
        <v>446</v>
      </c>
      <c r="D228" s="1" t="s">
        <v>22</v>
      </c>
      <c r="E228" s="1" t="s">
        <v>23</v>
      </c>
      <c r="F228" s="1">
        <v>246</v>
      </c>
      <c r="G228" s="1">
        <v>149</v>
      </c>
      <c r="H228" s="1">
        <v>130</v>
      </c>
      <c r="I228" s="1">
        <v>4674</v>
      </c>
      <c r="J228" s="1">
        <v>4390</v>
      </c>
      <c r="K228" s="1">
        <v>217</v>
      </c>
      <c r="L228" s="1" t="s">
        <v>116</v>
      </c>
      <c r="M228" s="1" t="s">
        <v>25</v>
      </c>
    </row>
    <row r="229" spans="1:13" ht="14.25" customHeight="1">
      <c r="A229" s="1" t="s">
        <v>447</v>
      </c>
      <c r="B229" s="1" t="s">
        <v>31</v>
      </c>
      <c r="C229" s="1" t="s">
        <v>448</v>
      </c>
      <c r="D229" s="1" t="s">
        <v>33</v>
      </c>
      <c r="E229" s="1" t="s">
        <v>34</v>
      </c>
      <c r="F229" s="1">
        <v>4808</v>
      </c>
      <c r="G229" s="1">
        <v>772</v>
      </c>
      <c r="H229" s="1">
        <v>320</v>
      </c>
      <c r="I229" s="1">
        <v>72120</v>
      </c>
      <c r="J229" s="1">
        <v>71696</v>
      </c>
      <c r="K229" s="1">
        <v>195</v>
      </c>
      <c r="L229" s="1" t="s">
        <v>209</v>
      </c>
      <c r="M229" s="1" t="s">
        <v>55</v>
      </c>
    </row>
    <row r="230" spans="1:13" ht="14.25" customHeight="1">
      <c r="A230" s="1" t="s">
        <v>449</v>
      </c>
      <c r="B230" s="1" t="s">
        <v>31</v>
      </c>
      <c r="C230" s="1" t="s">
        <v>150</v>
      </c>
      <c r="D230" s="1" t="s">
        <v>42</v>
      </c>
      <c r="E230" s="1" t="s">
        <v>43</v>
      </c>
      <c r="F230" s="1">
        <v>4799</v>
      </c>
      <c r="G230" s="1">
        <v>694</v>
      </c>
      <c r="H230" s="1">
        <v>289</v>
      </c>
      <c r="I230" s="1">
        <v>43191</v>
      </c>
      <c r="J230" s="1">
        <v>42228</v>
      </c>
      <c r="K230" s="1">
        <v>118</v>
      </c>
      <c r="L230" s="1" t="s">
        <v>44</v>
      </c>
      <c r="M230" s="1" t="s">
        <v>25</v>
      </c>
    </row>
    <row r="231" spans="1:13" ht="14.25" customHeight="1">
      <c r="A231" s="1" t="s">
        <v>450</v>
      </c>
      <c r="B231" s="1" t="s">
        <v>40</v>
      </c>
      <c r="C231" s="1" t="s">
        <v>312</v>
      </c>
      <c r="D231" s="1" t="s">
        <v>16</v>
      </c>
      <c r="E231" s="1" t="s">
        <v>17</v>
      </c>
      <c r="F231" s="1">
        <v>3663</v>
      </c>
      <c r="G231" s="1">
        <v>17</v>
      </c>
      <c r="H231" s="1">
        <v>295</v>
      </c>
      <c r="I231" s="1">
        <v>51282</v>
      </c>
      <c r="J231" s="1">
        <v>50567</v>
      </c>
      <c r="K231" s="1">
        <v>84</v>
      </c>
      <c r="L231" s="1" t="s">
        <v>18</v>
      </c>
      <c r="M231" s="1" t="s">
        <v>19</v>
      </c>
    </row>
    <row r="232" spans="1:13" ht="14.25" customHeight="1">
      <c r="A232" s="1" t="s">
        <v>451</v>
      </c>
      <c r="B232" s="1" t="s">
        <v>31</v>
      </c>
      <c r="C232" s="1" t="s">
        <v>427</v>
      </c>
      <c r="D232" s="1" t="s">
        <v>22</v>
      </c>
      <c r="E232" s="1" t="s">
        <v>23</v>
      </c>
      <c r="F232" s="1">
        <v>1430</v>
      </c>
      <c r="G232" s="1">
        <v>376</v>
      </c>
      <c r="H232" s="1">
        <v>33</v>
      </c>
      <c r="I232" s="1">
        <v>21450</v>
      </c>
      <c r="J232" s="1">
        <v>20509</v>
      </c>
      <c r="K232" s="1">
        <v>251</v>
      </c>
      <c r="L232" s="1" t="s">
        <v>77</v>
      </c>
      <c r="M232" s="1" t="s">
        <v>38</v>
      </c>
    </row>
    <row r="233" spans="1:13" ht="14.25" customHeight="1">
      <c r="A233" s="1" t="s">
        <v>452</v>
      </c>
      <c r="B233" s="1" t="s">
        <v>14</v>
      </c>
      <c r="C233" s="1" t="s">
        <v>453</v>
      </c>
      <c r="D233" s="1" t="s">
        <v>33</v>
      </c>
      <c r="E233" s="1" t="s">
        <v>34</v>
      </c>
      <c r="F233" s="1">
        <v>249</v>
      </c>
      <c r="G233" s="1">
        <v>592</v>
      </c>
      <c r="H233" s="1">
        <v>230</v>
      </c>
      <c r="I233" s="1">
        <v>1494</v>
      </c>
      <c r="J233" s="1">
        <v>1044</v>
      </c>
      <c r="K233" s="1">
        <v>201</v>
      </c>
      <c r="L233" s="1" t="s">
        <v>285</v>
      </c>
      <c r="M233" s="1" t="s">
        <v>55</v>
      </c>
    </row>
    <row r="234" spans="1:13" ht="14.25" customHeight="1">
      <c r="A234" s="1" t="s">
        <v>454</v>
      </c>
      <c r="B234" s="1" t="s">
        <v>40</v>
      </c>
      <c r="C234" s="1" t="s">
        <v>131</v>
      </c>
      <c r="D234" s="1" t="s">
        <v>49</v>
      </c>
      <c r="E234" s="1" t="s">
        <v>50</v>
      </c>
      <c r="F234" s="1">
        <v>2382</v>
      </c>
      <c r="G234" s="1">
        <v>265</v>
      </c>
      <c r="H234" s="1">
        <v>134</v>
      </c>
      <c r="I234" s="1">
        <v>38112</v>
      </c>
      <c r="J234" s="1">
        <v>37437</v>
      </c>
      <c r="K234" s="1">
        <v>249</v>
      </c>
      <c r="L234" s="1" t="s">
        <v>178</v>
      </c>
      <c r="M234" s="1" t="s">
        <v>25</v>
      </c>
    </row>
    <row r="235" spans="1:13" ht="14.25" customHeight="1">
      <c r="A235" s="1" t="s">
        <v>455</v>
      </c>
      <c r="B235" s="1" t="s">
        <v>40</v>
      </c>
      <c r="C235" s="1" t="s">
        <v>456</v>
      </c>
      <c r="D235" s="1" t="s">
        <v>22</v>
      </c>
      <c r="E235" s="1" t="s">
        <v>23</v>
      </c>
      <c r="F235" s="1">
        <v>1272</v>
      </c>
      <c r="G235" s="1">
        <v>465</v>
      </c>
      <c r="H235" s="1">
        <v>99</v>
      </c>
      <c r="I235" s="1">
        <v>24168</v>
      </c>
      <c r="J235" s="1">
        <v>23719</v>
      </c>
      <c r="K235" s="1">
        <v>42</v>
      </c>
      <c r="L235" s="1" t="s">
        <v>71</v>
      </c>
      <c r="M235" s="1" t="s">
        <v>25</v>
      </c>
    </row>
    <row r="236" spans="1:13" ht="14.25" customHeight="1">
      <c r="A236" s="1" t="s">
        <v>457</v>
      </c>
      <c r="B236" s="1" t="s">
        <v>40</v>
      </c>
      <c r="C236" s="1" t="s">
        <v>387</v>
      </c>
      <c r="D236" s="1" t="s">
        <v>49</v>
      </c>
      <c r="E236" s="1" t="s">
        <v>50</v>
      </c>
      <c r="F236" s="1">
        <v>3196</v>
      </c>
      <c r="G236" s="1">
        <v>941</v>
      </c>
      <c r="H236" s="1">
        <v>376</v>
      </c>
      <c r="I236" s="1">
        <v>35156</v>
      </c>
      <c r="J236" s="1">
        <v>34444</v>
      </c>
      <c r="K236" s="1">
        <v>241</v>
      </c>
      <c r="L236" s="1" t="s">
        <v>87</v>
      </c>
      <c r="M236" s="1" t="s">
        <v>55</v>
      </c>
    </row>
    <row r="237" spans="1:13" ht="14.25" customHeight="1">
      <c r="A237" s="1" t="s">
        <v>458</v>
      </c>
      <c r="B237" s="1" t="s">
        <v>40</v>
      </c>
      <c r="C237" s="1" t="s">
        <v>79</v>
      </c>
      <c r="D237" s="1" t="s">
        <v>22</v>
      </c>
      <c r="E237" s="1" t="s">
        <v>23</v>
      </c>
      <c r="F237" s="1">
        <v>1257</v>
      </c>
      <c r="G237" s="1">
        <v>19</v>
      </c>
      <c r="H237" s="1">
        <v>351</v>
      </c>
      <c r="I237" s="1">
        <v>12570</v>
      </c>
      <c r="J237" s="1">
        <v>11660</v>
      </c>
      <c r="K237" s="1">
        <v>194</v>
      </c>
      <c r="L237" s="1" t="s">
        <v>58</v>
      </c>
      <c r="M237" s="1" t="s">
        <v>19</v>
      </c>
    </row>
    <row r="238" spans="1:13" ht="14.25" customHeight="1">
      <c r="A238" s="1" t="s">
        <v>459</v>
      </c>
      <c r="B238" s="1" t="s">
        <v>31</v>
      </c>
      <c r="C238" s="1" t="s">
        <v>336</v>
      </c>
      <c r="D238" s="1" t="s">
        <v>33</v>
      </c>
      <c r="E238" s="1" t="s">
        <v>34</v>
      </c>
      <c r="F238" s="1">
        <v>3770</v>
      </c>
      <c r="G238" s="1">
        <v>917</v>
      </c>
      <c r="H238" s="1">
        <v>129</v>
      </c>
      <c r="I238" s="1">
        <v>71630</v>
      </c>
      <c r="J238" s="1">
        <v>71322</v>
      </c>
      <c r="K238" s="1">
        <v>76</v>
      </c>
      <c r="L238" s="1" t="s">
        <v>102</v>
      </c>
      <c r="M238" s="1" t="s">
        <v>55</v>
      </c>
    </row>
    <row r="239" spans="1:13" ht="14.25" customHeight="1">
      <c r="A239" s="1" t="s">
        <v>460</v>
      </c>
      <c r="B239" s="1" t="s">
        <v>14</v>
      </c>
      <c r="C239" s="1" t="s">
        <v>461</v>
      </c>
      <c r="D239" s="1" t="s">
        <v>22</v>
      </c>
      <c r="E239" s="1" t="s">
        <v>23</v>
      </c>
      <c r="F239" s="1">
        <v>4725</v>
      </c>
      <c r="G239" s="1">
        <v>400</v>
      </c>
      <c r="H239" s="1">
        <v>362</v>
      </c>
      <c r="I239" s="1">
        <v>75600</v>
      </c>
      <c r="J239" s="1">
        <v>74927</v>
      </c>
      <c r="K239" s="1">
        <v>43</v>
      </c>
      <c r="L239" s="1" t="s">
        <v>105</v>
      </c>
      <c r="M239" s="1" t="s">
        <v>19</v>
      </c>
    </row>
    <row r="240" spans="1:13" ht="14.25" customHeight="1">
      <c r="A240" s="1" t="s">
        <v>462</v>
      </c>
      <c r="B240" s="1" t="s">
        <v>27</v>
      </c>
      <c r="C240" s="1" t="s">
        <v>143</v>
      </c>
      <c r="D240" s="1" t="s">
        <v>22</v>
      </c>
      <c r="E240" s="1" t="s">
        <v>23</v>
      </c>
      <c r="F240" s="1">
        <v>4188</v>
      </c>
      <c r="G240" s="1">
        <v>942</v>
      </c>
      <c r="H240" s="1">
        <v>118</v>
      </c>
      <c r="I240" s="1">
        <v>20940</v>
      </c>
      <c r="J240" s="1">
        <v>20471</v>
      </c>
      <c r="K240" s="1">
        <v>102</v>
      </c>
      <c r="L240" s="1" t="s">
        <v>58</v>
      </c>
      <c r="M240" s="1" t="s">
        <v>25</v>
      </c>
    </row>
    <row r="241" spans="1:13" ht="14.25" customHeight="1">
      <c r="A241" s="1" t="s">
        <v>463</v>
      </c>
      <c r="B241" s="1" t="s">
        <v>14</v>
      </c>
      <c r="C241" s="1" t="s">
        <v>73</v>
      </c>
      <c r="D241" s="1" t="s">
        <v>42</v>
      </c>
      <c r="E241" s="1" t="s">
        <v>43</v>
      </c>
      <c r="F241" s="1">
        <v>929</v>
      </c>
      <c r="G241" s="1">
        <v>192</v>
      </c>
      <c r="H241" s="1">
        <v>322</v>
      </c>
      <c r="I241" s="1">
        <v>16722</v>
      </c>
      <c r="J241" s="1">
        <v>15996</v>
      </c>
      <c r="K241" s="1">
        <v>145</v>
      </c>
      <c r="L241" s="1" t="s">
        <v>24</v>
      </c>
      <c r="M241" s="1" t="s">
        <v>38</v>
      </c>
    </row>
    <row r="242" spans="1:13" ht="14.25" customHeight="1">
      <c r="A242" s="1" t="s">
        <v>464</v>
      </c>
      <c r="B242" s="1" t="s">
        <v>40</v>
      </c>
      <c r="C242" s="1" t="s">
        <v>465</v>
      </c>
      <c r="D242" s="1" t="s">
        <v>33</v>
      </c>
      <c r="E242" s="1" t="s">
        <v>34</v>
      </c>
      <c r="F242" s="1">
        <v>4321</v>
      </c>
      <c r="G242" s="1">
        <v>874</v>
      </c>
      <c r="H242" s="1">
        <v>172</v>
      </c>
      <c r="I242" s="1">
        <v>30247</v>
      </c>
      <c r="J242" s="1">
        <v>29254</v>
      </c>
      <c r="K242" s="1">
        <v>122</v>
      </c>
      <c r="L242" s="1" t="s">
        <v>66</v>
      </c>
      <c r="M242" s="1" t="s">
        <v>38</v>
      </c>
    </row>
    <row r="243" spans="1:13" ht="14.25" customHeight="1">
      <c r="A243" s="1" t="s">
        <v>466</v>
      </c>
      <c r="B243" s="1" t="s">
        <v>40</v>
      </c>
      <c r="C243" s="1" t="s">
        <v>223</v>
      </c>
      <c r="D243" s="1" t="s">
        <v>16</v>
      </c>
      <c r="E243" s="1" t="s">
        <v>17</v>
      </c>
      <c r="F243" s="1">
        <v>4767</v>
      </c>
      <c r="G243" s="1">
        <v>190</v>
      </c>
      <c r="H243" s="1">
        <v>340</v>
      </c>
      <c r="I243" s="1">
        <v>28602</v>
      </c>
      <c r="J243" s="1">
        <v>28044</v>
      </c>
      <c r="K243" s="1">
        <v>210</v>
      </c>
      <c r="L243" s="1" t="s">
        <v>77</v>
      </c>
      <c r="M243" s="1" t="s">
        <v>55</v>
      </c>
    </row>
    <row r="244" spans="1:13" ht="14.25" customHeight="1">
      <c r="A244" s="1" t="s">
        <v>467</v>
      </c>
      <c r="B244" s="1" t="s">
        <v>14</v>
      </c>
      <c r="C244" s="1" t="s">
        <v>468</v>
      </c>
      <c r="D244" s="1" t="s">
        <v>49</v>
      </c>
      <c r="E244" s="1" t="s">
        <v>50</v>
      </c>
      <c r="F244" s="1">
        <v>3592</v>
      </c>
      <c r="G244" s="1">
        <v>911</v>
      </c>
      <c r="H244" s="1">
        <v>375</v>
      </c>
      <c r="I244" s="1">
        <v>50288</v>
      </c>
      <c r="J244" s="1">
        <v>49490</v>
      </c>
      <c r="K244" s="1">
        <v>32</v>
      </c>
      <c r="L244" s="1" t="s">
        <v>58</v>
      </c>
      <c r="M244" s="1" t="s">
        <v>25</v>
      </c>
    </row>
    <row r="245" spans="1:13" ht="14.25" customHeight="1">
      <c r="A245" s="1" t="s">
        <v>469</v>
      </c>
      <c r="B245" s="1" t="s">
        <v>27</v>
      </c>
      <c r="C245" s="1" t="s">
        <v>470</v>
      </c>
      <c r="D245" s="1" t="s">
        <v>69</v>
      </c>
      <c r="E245" s="1" t="s">
        <v>70</v>
      </c>
      <c r="F245" s="1">
        <v>4661</v>
      </c>
      <c r="G245" s="1">
        <v>935</v>
      </c>
      <c r="H245" s="1">
        <v>433</v>
      </c>
      <c r="I245" s="1">
        <v>23305</v>
      </c>
      <c r="J245" s="1">
        <v>22583</v>
      </c>
      <c r="K245" s="1">
        <v>63</v>
      </c>
      <c r="L245" s="1" t="s">
        <v>162</v>
      </c>
      <c r="M245" s="1" t="s">
        <v>19</v>
      </c>
    </row>
    <row r="246" spans="1:13" ht="14.25" customHeight="1">
      <c r="A246" s="1" t="s">
        <v>471</v>
      </c>
      <c r="B246" s="1" t="s">
        <v>40</v>
      </c>
      <c r="C246" s="1" t="s">
        <v>472</v>
      </c>
      <c r="D246" s="1" t="s">
        <v>16</v>
      </c>
      <c r="E246" s="1" t="s">
        <v>17</v>
      </c>
      <c r="F246" s="1">
        <v>4134</v>
      </c>
      <c r="G246" s="1">
        <v>824</v>
      </c>
      <c r="H246" s="1">
        <v>99</v>
      </c>
      <c r="I246" s="1">
        <v>41340</v>
      </c>
      <c r="J246" s="1">
        <v>41050</v>
      </c>
      <c r="K246" s="1">
        <v>177</v>
      </c>
      <c r="L246" s="1" t="s">
        <v>24</v>
      </c>
      <c r="M246" s="1" t="s">
        <v>25</v>
      </c>
    </row>
    <row r="247" spans="1:13" ht="14.25" customHeight="1">
      <c r="A247" s="1" t="s">
        <v>473</v>
      </c>
      <c r="B247" s="1" t="s">
        <v>40</v>
      </c>
      <c r="C247" s="1" t="s">
        <v>474</v>
      </c>
      <c r="D247" s="1" t="s">
        <v>49</v>
      </c>
      <c r="E247" s="1" t="s">
        <v>50</v>
      </c>
      <c r="F247" s="1">
        <v>400</v>
      </c>
      <c r="G247" s="1">
        <v>680</v>
      </c>
      <c r="H247" s="1">
        <v>434</v>
      </c>
      <c r="I247" s="1">
        <v>6400</v>
      </c>
      <c r="J247" s="1">
        <v>5472</v>
      </c>
      <c r="K247" s="1">
        <v>160</v>
      </c>
      <c r="L247" s="1" t="s">
        <v>102</v>
      </c>
      <c r="M247" s="1" t="s">
        <v>25</v>
      </c>
    </row>
    <row r="248" spans="1:13" ht="14.25" customHeight="1">
      <c r="A248" s="1" t="s">
        <v>475</v>
      </c>
      <c r="B248" s="1" t="s">
        <v>40</v>
      </c>
      <c r="C248" s="1" t="s">
        <v>476</v>
      </c>
      <c r="D248" s="1" t="s">
        <v>16</v>
      </c>
      <c r="E248" s="1" t="s">
        <v>17</v>
      </c>
      <c r="F248" s="1">
        <v>3960</v>
      </c>
      <c r="G248" s="1">
        <v>266</v>
      </c>
      <c r="H248" s="1">
        <v>8</v>
      </c>
      <c r="I248" s="1">
        <v>35640</v>
      </c>
      <c r="J248" s="1">
        <v>34850</v>
      </c>
      <c r="K248" s="1">
        <v>208</v>
      </c>
      <c r="L248" s="1" t="s">
        <v>105</v>
      </c>
      <c r="M248" s="1" t="s">
        <v>55</v>
      </c>
    </row>
    <row r="249" spans="1:13" ht="14.25" customHeight="1">
      <c r="A249" s="1" t="s">
        <v>477</v>
      </c>
      <c r="B249" s="1" t="s">
        <v>40</v>
      </c>
      <c r="C249" s="1" t="s">
        <v>57</v>
      </c>
      <c r="D249" s="1" t="s">
        <v>33</v>
      </c>
      <c r="E249" s="1" t="s">
        <v>34</v>
      </c>
      <c r="F249" s="1">
        <v>886</v>
      </c>
      <c r="G249" s="1">
        <v>126</v>
      </c>
      <c r="H249" s="1">
        <v>153</v>
      </c>
      <c r="I249" s="1">
        <v>4430</v>
      </c>
      <c r="J249" s="1">
        <v>4037</v>
      </c>
      <c r="K249" s="1">
        <v>212</v>
      </c>
      <c r="L249" s="1" t="s">
        <v>18</v>
      </c>
      <c r="M249" s="1" t="s">
        <v>38</v>
      </c>
    </row>
    <row r="250" spans="1:13" ht="14.25" customHeight="1">
      <c r="A250" s="1" t="s">
        <v>478</v>
      </c>
      <c r="B250" s="1" t="s">
        <v>14</v>
      </c>
      <c r="C250" s="1" t="s">
        <v>424</v>
      </c>
      <c r="D250" s="1" t="s">
        <v>49</v>
      </c>
      <c r="E250" s="1" t="s">
        <v>50</v>
      </c>
      <c r="F250" s="1">
        <v>827</v>
      </c>
      <c r="G250" s="1">
        <v>77</v>
      </c>
      <c r="H250" s="1">
        <v>402</v>
      </c>
      <c r="I250" s="1">
        <v>14886</v>
      </c>
      <c r="J250" s="1">
        <v>14129</v>
      </c>
      <c r="K250" s="1">
        <v>254</v>
      </c>
      <c r="L250" s="1" t="s">
        <v>58</v>
      </c>
      <c r="M250" s="1" t="s">
        <v>25</v>
      </c>
    </row>
    <row r="251" spans="1:13" ht="14.25" customHeight="1">
      <c r="A251" s="1" t="s">
        <v>479</v>
      </c>
      <c r="B251" s="1" t="s">
        <v>40</v>
      </c>
      <c r="C251" s="1" t="s">
        <v>168</v>
      </c>
      <c r="D251" s="1" t="s">
        <v>16</v>
      </c>
      <c r="E251" s="1" t="s">
        <v>17</v>
      </c>
      <c r="F251" s="1">
        <v>3813</v>
      </c>
      <c r="G251" s="1">
        <v>935</v>
      </c>
      <c r="H251" s="1">
        <v>274</v>
      </c>
      <c r="I251" s="1">
        <v>68634</v>
      </c>
      <c r="J251" s="1">
        <v>68488</v>
      </c>
      <c r="K251" s="1">
        <v>251</v>
      </c>
      <c r="L251" s="1" t="s">
        <v>178</v>
      </c>
      <c r="M251" s="1" t="s">
        <v>19</v>
      </c>
    </row>
    <row r="252" spans="1:13" ht="14.25" customHeight="1">
      <c r="A252" s="1" t="s">
        <v>480</v>
      </c>
      <c r="B252" s="1" t="s">
        <v>31</v>
      </c>
      <c r="C252" s="1" t="s">
        <v>481</v>
      </c>
      <c r="D252" s="1" t="s">
        <v>42</v>
      </c>
      <c r="E252" s="1" t="s">
        <v>43</v>
      </c>
      <c r="F252" s="1">
        <v>1377</v>
      </c>
      <c r="G252" s="1">
        <v>796</v>
      </c>
      <c r="H252" s="1">
        <v>387</v>
      </c>
      <c r="I252" s="1">
        <v>22032</v>
      </c>
      <c r="J252" s="1">
        <v>21869</v>
      </c>
      <c r="K252" s="1">
        <v>189</v>
      </c>
      <c r="L252" s="1" t="s">
        <v>144</v>
      </c>
      <c r="M252" s="1" t="s">
        <v>38</v>
      </c>
    </row>
    <row r="253" spans="1:13" ht="14.25" customHeight="1">
      <c r="A253" s="1" t="s">
        <v>482</v>
      </c>
      <c r="B253" s="1" t="s">
        <v>40</v>
      </c>
      <c r="C253" s="1" t="s">
        <v>359</v>
      </c>
      <c r="D253" s="1" t="s">
        <v>42</v>
      </c>
      <c r="E253" s="1" t="s">
        <v>43</v>
      </c>
      <c r="F253" s="1">
        <v>2089</v>
      </c>
      <c r="G253" s="1">
        <v>476</v>
      </c>
      <c r="H253" s="1">
        <v>69</v>
      </c>
      <c r="I253" s="1">
        <v>16712</v>
      </c>
      <c r="J253" s="1">
        <v>16309</v>
      </c>
      <c r="K253" s="1">
        <v>64</v>
      </c>
      <c r="L253" s="1" t="s">
        <v>61</v>
      </c>
      <c r="M253" s="1" t="s">
        <v>19</v>
      </c>
    </row>
    <row r="254" spans="1:13" ht="14.25" customHeight="1">
      <c r="A254" s="1" t="s">
        <v>483</v>
      </c>
      <c r="B254" s="1" t="s">
        <v>14</v>
      </c>
      <c r="C254" s="1" t="s">
        <v>484</v>
      </c>
      <c r="D254" s="1" t="s">
        <v>16</v>
      </c>
      <c r="E254" s="1" t="s">
        <v>17</v>
      </c>
      <c r="F254" s="1">
        <v>3791</v>
      </c>
      <c r="G254" s="1">
        <v>593</v>
      </c>
      <c r="H254" s="1">
        <v>228</v>
      </c>
      <c r="I254" s="1">
        <v>53074</v>
      </c>
      <c r="J254" s="1">
        <v>52613</v>
      </c>
      <c r="K254" s="1">
        <v>205</v>
      </c>
      <c r="L254" s="1" t="s">
        <v>162</v>
      </c>
      <c r="M254" s="1" t="s">
        <v>19</v>
      </c>
    </row>
    <row r="255" spans="1:13" ht="14.25" customHeight="1">
      <c r="A255" s="1" t="s">
        <v>485</v>
      </c>
      <c r="B255" s="1" t="s">
        <v>14</v>
      </c>
      <c r="C255" s="1" t="s">
        <v>486</v>
      </c>
      <c r="D255" s="1" t="s">
        <v>49</v>
      </c>
      <c r="E255" s="1" t="s">
        <v>50</v>
      </c>
      <c r="F255" s="1">
        <v>2692</v>
      </c>
      <c r="G255" s="1">
        <v>115</v>
      </c>
      <c r="H255" s="1">
        <v>64</v>
      </c>
      <c r="I255" s="1">
        <v>21536</v>
      </c>
      <c r="J255" s="1">
        <v>21120</v>
      </c>
      <c r="K255" s="1">
        <v>224</v>
      </c>
      <c r="L255" s="1" t="s">
        <v>178</v>
      </c>
      <c r="M255" s="1" t="s">
        <v>55</v>
      </c>
    </row>
    <row r="256" spans="1:13" ht="14.25" customHeight="1">
      <c r="A256" s="1" t="s">
        <v>487</v>
      </c>
      <c r="B256" s="1" t="s">
        <v>40</v>
      </c>
      <c r="C256" s="1" t="s">
        <v>21</v>
      </c>
      <c r="D256" s="1" t="s">
        <v>33</v>
      </c>
      <c r="E256" s="1" t="s">
        <v>34</v>
      </c>
      <c r="F256" s="1">
        <v>3767</v>
      </c>
      <c r="G256" s="1">
        <v>514</v>
      </c>
      <c r="H256" s="1">
        <v>238</v>
      </c>
      <c r="I256" s="1">
        <v>37670</v>
      </c>
      <c r="J256" s="1">
        <v>36807</v>
      </c>
      <c r="K256" s="1">
        <v>226</v>
      </c>
      <c r="L256" s="1" t="s">
        <v>162</v>
      </c>
      <c r="M256" s="1" t="s">
        <v>19</v>
      </c>
    </row>
    <row r="257" spans="1:13" ht="14.25" customHeight="1">
      <c r="A257" s="1" t="s">
        <v>488</v>
      </c>
      <c r="B257" s="1" t="s">
        <v>27</v>
      </c>
      <c r="C257" s="1" t="s">
        <v>247</v>
      </c>
      <c r="D257" s="1" t="s">
        <v>42</v>
      </c>
      <c r="E257" s="1" t="s">
        <v>43</v>
      </c>
      <c r="F257" s="1">
        <v>2143</v>
      </c>
      <c r="G257" s="1">
        <v>12</v>
      </c>
      <c r="H257" s="1">
        <v>204</v>
      </c>
      <c r="I257" s="1">
        <v>40717</v>
      </c>
      <c r="J257" s="1">
        <v>40125</v>
      </c>
      <c r="K257" s="1">
        <v>248</v>
      </c>
      <c r="L257" s="1" t="s">
        <v>127</v>
      </c>
      <c r="M257" s="1" t="s">
        <v>55</v>
      </c>
    </row>
    <row r="258" spans="1:13" ht="14.25" customHeight="1">
      <c r="A258" s="1" t="s">
        <v>489</v>
      </c>
      <c r="B258" s="1" t="s">
        <v>40</v>
      </c>
      <c r="C258" s="1" t="s">
        <v>288</v>
      </c>
      <c r="D258" s="1" t="s">
        <v>49</v>
      </c>
      <c r="E258" s="1" t="s">
        <v>50</v>
      </c>
      <c r="F258" s="1">
        <v>3090</v>
      </c>
      <c r="G258" s="1">
        <v>697</v>
      </c>
      <c r="H258" s="1">
        <v>164</v>
      </c>
      <c r="I258" s="1">
        <v>49440</v>
      </c>
      <c r="J258" s="1">
        <v>48524</v>
      </c>
      <c r="K258" s="1">
        <v>25</v>
      </c>
      <c r="L258" s="1" t="s">
        <v>264</v>
      </c>
      <c r="M258" s="1" t="s">
        <v>55</v>
      </c>
    </row>
    <row r="259" spans="1:13" ht="14.25" customHeight="1">
      <c r="A259" s="1" t="s">
        <v>490</v>
      </c>
      <c r="B259" s="1" t="s">
        <v>31</v>
      </c>
      <c r="C259" s="1" t="s">
        <v>491</v>
      </c>
      <c r="D259" s="1" t="s">
        <v>33</v>
      </c>
      <c r="E259" s="1" t="s">
        <v>34</v>
      </c>
      <c r="F259" s="1">
        <v>3601</v>
      </c>
      <c r="G259" s="1">
        <v>695</v>
      </c>
      <c r="H259" s="1">
        <v>75</v>
      </c>
      <c r="I259" s="1">
        <v>21606</v>
      </c>
      <c r="J259" s="1">
        <v>21454</v>
      </c>
      <c r="K259" s="1">
        <v>172</v>
      </c>
      <c r="L259" s="1" t="s">
        <v>58</v>
      </c>
      <c r="M259" s="1" t="s">
        <v>25</v>
      </c>
    </row>
    <row r="260" spans="1:13" ht="14.25" customHeight="1">
      <c r="A260" s="1" t="s">
        <v>492</v>
      </c>
      <c r="B260" s="1" t="s">
        <v>40</v>
      </c>
      <c r="C260" s="1" t="s">
        <v>244</v>
      </c>
      <c r="D260" s="1" t="s">
        <v>22</v>
      </c>
      <c r="E260" s="1" t="s">
        <v>23</v>
      </c>
      <c r="F260" s="1">
        <v>562</v>
      </c>
      <c r="G260" s="1">
        <v>158</v>
      </c>
      <c r="H260" s="1">
        <v>149</v>
      </c>
      <c r="I260" s="1">
        <v>3372</v>
      </c>
      <c r="J260" s="1">
        <v>2940</v>
      </c>
      <c r="K260" s="1">
        <v>93</v>
      </c>
      <c r="L260" s="1" t="s">
        <v>127</v>
      </c>
      <c r="M260" s="1" t="s">
        <v>55</v>
      </c>
    </row>
    <row r="261" spans="1:13" ht="14.25" customHeight="1">
      <c r="A261" s="1" t="s">
        <v>493</v>
      </c>
      <c r="B261" s="1" t="s">
        <v>31</v>
      </c>
      <c r="C261" s="1" t="s">
        <v>494</v>
      </c>
      <c r="D261" s="1" t="s">
        <v>33</v>
      </c>
      <c r="E261" s="1" t="s">
        <v>34</v>
      </c>
      <c r="F261" s="1">
        <v>4332</v>
      </c>
      <c r="G261" s="1">
        <v>771</v>
      </c>
      <c r="H261" s="1">
        <v>219</v>
      </c>
      <c r="I261" s="1">
        <v>60648</v>
      </c>
      <c r="J261" s="1">
        <v>60397</v>
      </c>
      <c r="K261" s="1">
        <v>10</v>
      </c>
      <c r="L261" s="1" t="s">
        <v>24</v>
      </c>
      <c r="M261" s="1" t="s">
        <v>38</v>
      </c>
    </row>
    <row r="262" spans="1:13" ht="14.25" customHeight="1">
      <c r="A262" s="1" t="s">
        <v>495</v>
      </c>
      <c r="B262" s="1" t="s">
        <v>31</v>
      </c>
      <c r="C262" s="1" t="s">
        <v>496</v>
      </c>
      <c r="D262" s="1" t="s">
        <v>49</v>
      </c>
      <c r="E262" s="1" t="s">
        <v>50</v>
      </c>
      <c r="F262" s="1">
        <v>4853</v>
      </c>
      <c r="G262" s="1">
        <v>837</v>
      </c>
      <c r="H262" s="1">
        <v>340</v>
      </c>
      <c r="I262" s="1">
        <v>72795</v>
      </c>
      <c r="J262" s="1">
        <v>72237</v>
      </c>
      <c r="K262" s="1">
        <v>170</v>
      </c>
      <c r="L262" s="1" t="s">
        <v>18</v>
      </c>
      <c r="M262" s="1" t="s">
        <v>25</v>
      </c>
    </row>
    <row r="263" spans="1:13" ht="14.25" customHeight="1">
      <c r="A263" s="1" t="s">
        <v>497</v>
      </c>
      <c r="B263" s="1" t="s">
        <v>27</v>
      </c>
      <c r="C263" s="1" t="s">
        <v>465</v>
      </c>
      <c r="D263" s="1" t="s">
        <v>49</v>
      </c>
      <c r="E263" s="1" t="s">
        <v>50</v>
      </c>
      <c r="F263" s="1">
        <v>1206</v>
      </c>
      <c r="G263" s="1">
        <v>238</v>
      </c>
      <c r="H263" s="1">
        <v>36</v>
      </c>
      <c r="I263" s="1">
        <v>9648</v>
      </c>
      <c r="J263" s="1">
        <v>9417</v>
      </c>
      <c r="K263" s="1">
        <v>237</v>
      </c>
      <c r="L263" s="1" t="s">
        <v>82</v>
      </c>
      <c r="M263" s="1" t="s">
        <v>38</v>
      </c>
    </row>
    <row r="264" spans="1:13" ht="14.25" customHeight="1">
      <c r="A264" s="1" t="s">
        <v>498</v>
      </c>
      <c r="B264" s="1" t="s">
        <v>31</v>
      </c>
      <c r="C264" s="1" t="s">
        <v>499</v>
      </c>
      <c r="D264" s="1" t="s">
        <v>16</v>
      </c>
      <c r="E264" s="1" t="s">
        <v>17</v>
      </c>
      <c r="F264" s="1">
        <v>2603</v>
      </c>
      <c r="G264" s="1">
        <v>690</v>
      </c>
      <c r="H264" s="1">
        <v>205</v>
      </c>
      <c r="I264" s="1">
        <v>13015</v>
      </c>
      <c r="J264" s="1">
        <v>12130</v>
      </c>
      <c r="K264" s="1">
        <v>20</v>
      </c>
      <c r="L264" s="1" t="s">
        <v>44</v>
      </c>
      <c r="M264" s="1" t="s">
        <v>19</v>
      </c>
    </row>
    <row r="265" spans="1:13" ht="14.25" customHeight="1">
      <c r="A265" s="1" t="s">
        <v>500</v>
      </c>
      <c r="B265" s="1" t="s">
        <v>14</v>
      </c>
      <c r="C265" s="1" t="s">
        <v>501</v>
      </c>
      <c r="D265" s="1" t="s">
        <v>49</v>
      </c>
      <c r="E265" s="1" t="s">
        <v>50</v>
      </c>
      <c r="F265" s="1">
        <v>59</v>
      </c>
      <c r="G265" s="1">
        <v>163</v>
      </c>
      <c r="H265" s="1">
        <v>93</v>
      </c>
      <c r="I265" s="1">
        <v>590</v>
      </c>
      <c r="J265" s="1">
        <v>475</v>
      </c>
      <c r="K265" s="1">
        <v>293</v>
      </c>
      <c r="L265" s="1" t="s">
        <v>44</v>
      </c>
      <c r="M265" s="1" t="s">
        <v>55</v>
      </c>
    </row>
    <row r="266" spans="1:13" ht="14.25" customHeight="1">
      <c r="A266" s="1" t="s">
        <v>502</v>
      </c>
      <c r="B266" s="1" t="s">
        <v>14</v>
      </c>
      <c r="C266" s="1" t="s">
        <v>503</v>
      </c>
      <c r="D266" s="1" t="s">
        <v>42</v>
      </c>
      <c r="E266" s="1" t="s">
        <v>43</v>
      </c>
      <c r="F266" s="1">
        <v>1877</v>
      </c>
      <c r="G266" s="1">
        <v>745</v>
      </c>
      <c r="H266" s="1">
        <v>225</v>
      </c>
      <c r="I266" s="1">
        <v>11262</v>
      </c>
      <c r="J266" s="1">
        <v>10967</v>
      </c>
      <c r="K266" s="1">
        <v>41</v>
      </c>
      <c r="L266" s="1" t="s">
        <v>61</v>
      </c>
      <c r="M266" s="1" t="s">
        <v>19</v>
      </c>
    </row>
    <row r="267" spans="1:13" ht="14.25" customHeight="1">
      <c r="A267" s="1" t="s">
        <v>504</v>
      </c>
      <c r="B267" s="1" t="s">
        <v>40</v>
      </c>
      <c r="C267" s="1" t="s">
        <v>126</v>
      </c>
      <c r="D267" s="1" t="s">
        <v>33</v>
      </c>
      <c r="E267" s="1" t="s">
        <v>34</v>
      </c>
      <c r="F267" s="1">
        <v>4182</v>
      </c>
      <c r="G267" s="1">
        <v>640</v>
      </c>
      <c r="H267" s="1">
        <v>240</v>
      </c>
      <c r="I267" s="1">
        <v>50184</v>
      </c>
      <c r="J267" s="1">
        <v>49351</v>
      </c>
      <c r="K267" s="1">
        <v>10</v>
      </c>
      <c r="L267" s="1" t="s">
        <v>82</v>
      </c>
      <c r="M267" s="1" t="s">
        <v>38</v>
      </c>
    </row>
    <row r="268" spans="1:13" ht="14.25" customHeight="1">
      <c r="A268" s="1" t="s">
        <v>505</v>
      </c>
      <c r="B268" s="1" t="s">
        <v>14</v>
      </c>
      <c r="C268" s="1" t="s">
        <v>391</v>
      </c>
      <c r="D268" s="1" t="s">
        <v>16</v>
      </c>
      <c r="E268" s="1" t="s">
        <v>17</v>
      </c>
      <c r="F268" s="1">
        <v>4187</v>
      </c>
      <c r="G268" s="1">
        <v>66</v>
      </c>
      <c r="H268" s="1">
        <v>31</v>
      </c>
      <c r="I268" s="1">
        <v>66992</v>
      </c>
      <c r="J268" s="1">
        <v>66614</v>
      </c>
      <c r="K268" s="1">
        <v>62</v>
      </c>
      <c r="L268" s="1" t="s">
        <v>58</v>
      </c>
      <c r="M268" s="1" t="s">
        <v>55</v>
      </c>
    </row>
    <row r="269" spans="1:13" ht="14.25" customHeight="1">
      <c r="A269" s="1" t="s">
        <v>506</v>
      </c>
      <c r="B269" s="1" t="s">
        <v>31</v>
      </c>
      <c r="C269" s="1" t="s">
        <v>507</v>
      </c>
      <c r="D269" s="1" t="s">
        <v>16</v>
      </c>
      <c r="E269" s="1" t="s">
        <v>17</v>
      </c>
      <c r="F269" s="1">
        <v>4579</v>
      </c>
      <c r="G269" s="1">
        <v>125</v>
      </c>
      <c r="H269" s="1">
        <v>300</v>
      </c>
      <c r="I269" s="1">
        <v>59527</v>
      </c>
      <c r="J269" s="1">
        <v>59400</v>
      </c>
      <c r="K269" s="1">
        <v>269</v>
      </c>
      <c r="L269" s="1" t="s">
        <v>37</v>
      </c>
      <c r="M269" s="1" t="s">
        <v>19</v>
      </c>
    </row>
    <row r="270" spans="1:13" ht="14.25" customHeight="1">
      <c r="A270" s="1" t="s">
        <v>508</v>
      </c>
      <c r="B270" s="1" t="s">
        <v>31</v>
      </c>
      <c r="C270" s="1" t="s">
        <v>509</v>
      </c>
      <c r="D270" s="1" t="s">
        <v>69</v>
      </c>
      <c r="E270" s="1" t="s">
        <v>70</v>
      </c>
      <c r="F270" s="1">
        <v>4561</v>
      </c>
      <c r="G270" s="1">
        <v>51</v>
      </c>
      <c r="H270" s="1">
        <v>441</v>
      </c>
      <c r="I270" s="1">
        <v>22805</v>
      </c>
      <c r="J270" s="1">
        <v>21890</v>
      </c>
      <c r="K270" s="1">
        <v>45</v>
      </c>
      <c r="L270" s="1" t="s">
        <v>58</v>
      </c>
      <c r="M270" s="1" t="s">
        <v>25</v>
      </c>
    </row>
    <row r="271" spans="1:13" ht="14.25" customHeight="1">
      <c r="A271" s="1" t="s">
        <v>510</v>
      </c>
      <c r="B271" s="1" t="s">
        <v>27</v>
      </c>
      <c r="C271" s="1" t="s">
        <v>409</v>
      </c>
      <c r="D271" s="1" t="s">
        <v>16</v>
      </c>
      <c r="E271" s="1" t="s">
        <v>17</v>
      </c>
      <c r="F271" s="1">
        <v>3774</v>
      </c>
      <c r="G271" s="1">
        <v>239</v>
      </c>
      <c r="H271" s="1">
        <v>39</v>
      </c>
      <c r="I271" s="1">
        <v>60384</v>
      </c>
      <c r="J271" s="1">
        <v>59490</v>
      </c>
      <c r="K271" s="1">
        <v>241</v>
      </c>
      <c r="L271" s="1" t="s">
        <v>77</v>
      </c>
      <c r="M271" s="1" t="s">
        <v>38</v>
      </c>
    </row>
    <row r="272" spans="1:13" ht="14.25" customHeight="1">
      <c r="A272" s="1" t="s">
        <v>511</v>
      </c>
      <c r="B272" s="1" t="s">
        <v>31</v>
      </c>
      <c r="C272" s="1" t="s">
        <v>512</v>
      </c>
      <c r="D272" s="1" t="s">
        <v>69</v>
      </c>
      <c r="E272" s="1" t="s">
        <v>70</v>
      </c>
      <c r="F272" s="1">
        <v>3575</v>
      </c>
      <c r="G272" s="1">
        <v>749</v>
      </c>
      <c r="H272" s="1">
        <v>111</v>
      </c>
      <c r="I272" s="1">
        <v>21450</v>
      </c>
      <c r="J272" s="1">
        <v>20785</v>
      </c>
      <c r="K272" s="1">
        <v>195</v>
      </c>
      <c r="L272" s="1" t="s">
        <v>77</v>
      </c>
      <c r="M272" s="1" t="s">
        <v>38</v>
      </c>
    </row>
    <row r="273" spans="1:13" ht="14.25" customHeight="1">
      <c r="A273" s="1" t="s">
        <v>513</v>
      </c>
      <c r="B273" s="1" t="s">
        <v>31</v>
      </c>
      <c r="C273" s="1" t="s">
        <v>481</v>
      </c>
      <c r="D273" s="1" t="s">
        <v>22</v>
      </c>
      <c r="E273" s="1" t="s">
        <v>23</v>
      </c>
      <c r="F273" s="1">
        <v>4941</v>
      </c>
      <c r="G273" s="1">
        <v>414</v>
      </c>
      <c r="H273" s="1">
        <v>266</v>
      </c>
      <c r="I273" s="1">
        <v>39528</v>
      </c>
      <c r="J273" s="1">
        <v>39154</v>
      </c>
      <c r="K273" s="1">
        <v>217</v>
      </c>
      <c r="L273" s="1" t="s">
        <v>18</v>
      </c>
      <c r="M273" s="1" t="s">
        <v>25</v>
      </c>
    </row>
    <row r="274" spans="1:13" ht="14.25" customHeight="1">
      <c r="A274" s="1" t="s">
        <v>514</v>
      </c>
      <c r="B274" s="1" t="s">
        <v>27</v>
      </c>
      <c r="C274" s="1" t="s">
        <v>515</v>
      </c>
      <c r="D274" s="1" t="s">
        <v>33</v>
      </c>
      <c r="E274" s="1" t="s">
        <v>34</v>
      </c>
      <c r="F274" s="1">
        <v>3641</v>
      </c>
      <c r="G274" s="1">
        <v>226</v>
      </c>
      <c r="H274" s="1">
        <v>46</v>
      </c>
      <c r="I274" s="1">
        <v>40051</v>
      </c>
      <c r="J274" s="1">
        <v>39319</v>
      </c>
      <c r="K274" s="1">
        <v>296</v>
      </c>
      <c r="L274" s="1" t="s">
        <v>44</v>
      </c>
      <c r="M274" s="1" t="s">
        <v>25</v>
      </c>
    </row>
    <row r="275" spans="1:13" ht="14.25" customHeight="1">
      <c r="A275" s="1" t="s">
        <v>516</v>
      </c>
      <c r="B275" s="1" t="s">
        <v>14</v>
      </c>
      <c r="C275" s="1" t="s">
        <v>331</v>
      </c>
      <c r="D275" s="1" t="s">
        <v>42</v>
      </c>
      <c r="E275" s="1" t="s">
        <v>43</v>
      </c>
      <c r="F275" s="1">
        <v>3535</v>
      </c>
      <c r="G275" s="1">
        <v>494</v>
      </c>
      <c r="H275" s="1">
        <v>152</v>
      </c>
      <c r="I275" s="1">
        <v>53025</v>
      </c>
      <c r="J275" s="1">
        <v>52791</v>
      </c>
      <c r="K275" s="1">
        <v>44</v>
      </c>
      <c r="L275" s="1" t="s">
        <v>214</v>
      </c>
      <c r="M275" s="1" t="s">
        <v>25</v>
      </c>
    </row>
    <row r="276" spans="1:13" ht="14.25" customHeight="1">
      <c r="A276" s="1" t="s">
        <v>517</v>
      </c>
      <c r="B276" s="1" t="s">
        <v>40</v>
      </c>
      <c r="C276" s="1" t="s">
        <v>491</v>
      </c>
      <c r="D276" s="1" t="s">
        <v>16</v>
      </c>
      <c r="E276" s="1" t="s">
        <v>17</v>
      </c>
      <c r="F276" s="1">
        <v>1741</v>
      </c>
      <c r="G276" s="1">
        <v>831</v>
      </c>
      <c r="H276" s="1">
        <v>345</v>
      </c>
      <c r="I276" s="1">
        <v>17410</v>
      </c>
      <c r="J276" s="1">
        <v>16844</v>
      </c>
      <c r="K276" s="1">
        <v>58</v>
      </c>
      <c r="L276" s="1" t="s">
        <v>71</v>
      </c>
      <c r="M276" s="1" t="s">
        <v>55</v>
      </c>
    </row>
    <row r="277" spans="1:13" ht="14.25" customHeight="1">
      <c r="A277" s="1" t="s">
        <v>518</v>
      </c>
      <c r="B277" s="1" t="s">
        <v>14</v>
      </c>
      <c r="C277" s="1" t="s">
        <v>519</v>
      </c>
      <c r="D277" s="1" t="s">
        <v>42</v>
      </c>
      <c r="E277" s="1" t="s">
        <v>43</v>
      </c>
      <c r="F277" s="1">
        <v>1556</v>
      </c>
      <c r="G277" s="1">
        <v>195</v>
      </c>
      <c r="H277" s="1">
        <v>131</v>
      </c>
      <c r="I277" s="1">
        <v>9336</v>
      </c>
      <c r="J277" s="1">
        <v>8875</v>
      </c>
      <c r="K277" s="1">
        <v>137</v>
      </c>
      <c r="L277" s="1" t="s">
        <v>24</v>
      </c>
      <c r="M277" s="1" t="s">
        <v>25</v>
      </c>
    </row>
    <row r="278" spans="1:13" ht="14.25" customHeight="1">
      <c r="A278" s="1" t="s">
        <v>520</v>
      </c>
      <c r="B278" s="1" t="s">
        <v>40</v>
      </c>
      <c r="C278" s="1" t="s">
        <v>288</v>
      </c>
      <c r="D278" s="1" t="s">
        <v>49</v>
      </c>
      <c r="E278" s="1" t="s">
        <v>50</v>
      </c>
      <c r="F278" s="1">
        <v>4236</v>
      </c>
      <c r="G278" s="1">
        <v>711</v>
      </c>
      <c r="H278" s="1">
        <v>298</v>
      </c>
      <c r="I278" s="1">
        <v>21180</v>
      </c>
      <c r="J278" s="1">
        <v>20516</v>
      </c>
      <c r="K278" s="1">
        <v>238</v>
      </c>
      <c r="L278" s="1" t="s">
        <v>209</v>
      </c>
      <c r="M278" s="1" t="s">
        <v>55</v>
      </c>
    </row>
    <row r="279" spans="1:13" ht="14.25" customHeight="1">
      <c r="A279" s="1" t="s">
        <v>521</v>
      </c>
      <c r="B279" s="1" t="s">
        <v>14</v>
      </c>
      <c r="C279" s="1" t="s">
        <v>522</v>
      </c>
      <c r="D279" s="1" t="s">
        <v>22</v>
      </c>
      <c r="E279" s="1" t="s">
        <v>23</v>
      </c>
      <c r="F279" s="1">
        <v>4516</v>
      </c>
      <c r="G279" s="1">
        <v>836</v>
      </c>
      <c r="H279" s="1">
        <v>169</v>
      </c>
      <c r="I279" s="1">
        <v>49676</v>
      </c>
      <c r="J279" s="1">
        <v>49257</v>
      </c>
      <c r="K279" s="1">
        <v>282</v>
      </c>
      <c r="L279" s="1" t="s">
        <v>44</v>
      </c>
      <c r="M279" s="1" t="s">
        <v>19</v>
      </c>
    </row>
    <row r="280" spans="1:13" ht="14.25" customHeight="1">
      <c r="A280" s="1" t="s">
        <v>523</v>
      </c>
      <c r="B280" s="1" t="s">
        <v>27</v>
      </c>
      <c r="C280" s="1" t="s">
        <v>191</v>
      </c>
      <c r="D280" s="1" t="s">
        <v>49</v>
      </c>
      <c r="E280" s="1" t="s">
        <v>50</v>
      </c>
      <c r="F280" s="1">
        <v>4905</v>
      </c>
      <c r="G280" s="1">
        <v>845</v>
      </c>
      <c r="H280" s="1">
        <v>129</v>
      </c>
      <c r="I280" s="1">
        <v>98100</v>
      </c>
      <c r="J280" s="1">
        <v>97772</v>
      </c>
      <c r="K280" s="1">
        <v>279</v>
      </c>
      <c r="L280" s="1" t="s">
        <v>44</v>
      </c>
      <c r="M280" s="1" t="s">
        <v>55</v>
      </c>
    </row>
    <row r="281" spans="1:13" ht="14.25" customHeight="1">
      <c r="A281" s="1" t="s">
        <v>524</v>
      </c>
      <c r="B281" s="1" t="s">
        <v>27</v>
      </c>
      <c r="C281" s="1" t="s">
        <v>164</v>
      </c>
      <c r="D281" s="1" t="s">
        <v>69</v>
      </c>
      <c r="E281" s="1" t="s">
        <v>70</v>
      </c>
      <c r="F281" s="1">
        <v>4275</v>
      </c>
      <c r="G281" s="1">
        <v>680</v>
      </c>
      <c r="H281" s="1">
        <v>385</v>
      </c>
      <c r="I281" s="1">
        <v>64125</v>
      </c>
      <c r="J281" s="1">
        <v>63650</v>
      </c>
      <c r="K281" s="1">
        <v>104</v>
      </c>
      <c r="L281" s="1" t="s">
        <v>58</v>
      </c>
      <c r="M281" s="1" t="s">
        <v>55</v>
      </c>
    </row>
    <row r="282" spans="1:13" ht="14.25" customHeight="1">
      <c r="A282" s="1" t="s">
        <v>525</v>
      </c>
      <c r="B282" s="1" t="s">
        <v>27</v>
      </c>
      <c r="C282" s="1" t="s">
        <v>526</v>
      </c>
      <c r="D282" s="1" t="s">
        <v>49</v>
      </c>
      <c r="E282" s="1" t="s">
        <v>50</v>
      </c>
      <c r="F282" s="1">
        <v>3166</v>
      </c>
      <c r="G282" s="1">
        <v>90</v>
      </c>
      <c r="H282" s="1">
        <v>341</v>
      </c>
      <c r="I282" s="1">
        <v>56988</v>
      </c>
      <c r="J282" s="1">
        <v>56125</v>
      </c>
      <c r="K282" s="1">
        <v>135</v>
      </c>
      <c r="L282" s="1" t="s">
        <v>146</v>
      </c>
      <c r="M282" s="1" t="s">
        <v>25</v>
      </c>
    </row>
    <row r="283" spans="1:13" ht="14.25" customHeight="1">
      <c r="A283" s="1" t="s">
        <v>527</v>
      </c>
      <c r="B283" s="1" t="s">
        <v>31</v>
      </c>
      <c r="C283" s="1" t="s">
        <v>528</v>
      </c>
      <c r="D283" s="1" t="s">
        <v>69</v>
      </c>
      <c r="E283" s="1" t="s">
        <v>70</v>
      </c>
      <c r="F283" s="1">
        <v>1488</v>
      </c>
      <c r="G283" s="1">
        <v>417</v>
      </c>
      <c r="H283" s="1">
        <v>168</v>
      </c>
      <c r="I283" s="1">
        <v>19344</v>
      </c>
      <c r="J283" s="1">
        <v>18395</v>
      </c>
      <c r="K283" s="1">
        <v>30</v>
      </c>
      <c r="L283" s="1" t="s">
        <v>18</v>
      </c>
      <c r="M283" s="1" t="s">
        <v>19</v>
      </c>
    </row>
    <row r="284" spans="1:13" ht="14.25" customHeight="1">
      <c r="A284" s="1" t="s">
        <v>529</v>
      </c>
      <c r="B284" s="1" t="s">
        <v>14</v>
      </c>
      <c r="C284" s="1" t="s">
        <v>530</v>
      </c>
      <c r="D284" s="1" t="s">
        <v>16</v>
      </c>
      <c r="E284" s="1" t="s">
        <v>17</v>
      </c>
      <c r="F284" s="1">
        <v>3367</v>
      </c>
      <c r="G284" s="1">
        <v>302</v>
      </c>
      <c r="H284" s="1">
        <v>57</v>
      </c>
      <c r="I284" s="1">
        <v>63973</v>
      </c>
      <c r="J284" s="1">
        <v>63789</v>
      </c>
      <c r="K284" s="1">
        <v>157</v>
      </c>
      <c r="L284" s="1" t="s">
        <v>105</v>
      </c>
      <c r="M284" s="1" t="s">
        <v>38</v>
      </c>
    </row>
    <row r="285" spans="1:13" ht="14.25" customHeight="1">
      <c r="A285" s="1" t="s">
        <v>531</v>
      </c>
      <c r="B285" s="1" t="s">
        <v>14</v>
      </c>
      <c r="C285" s="1" t="s">
        <v>99</v>
      </c>
      <c r="D285" s="1" t="s">
        <v>22</v>
      </c>
      <c r="E285" s="1" t="s">
        <v>23</v>
      </c>
      <c r="F285" s="1">
        <v>571</v>
      </c>
      <c r="G285" s="1">
        <v>190</v>
      </c>
      <c r="H285" s="1">
        <v>352</v>
      </c>
      <c r="I285" s="1">
        <v>9707</v>
      </c>
      <c r="J285" s="1">
        <v>9418</v>
      </c>
      <c r="K285" s="1">
        <v>231</v>
      </c>
      <c r="L285" s="1" t="s">
        <v>77</v>
      </c>
      <c r="M285" s="1" t="s">
        <v>25</v>
      </c>
    </row>
    <row r="286" spans="1:13" ht="14.25" customHeight="1">
      <c r="A286" s="1" t="s">
        <v>532</v>
      </c>
      <c r="B286" s="1" t="s">
        <v>27</v>
      </c>
      <c r="C286" s="1" t="s">
        <v>424</v>
      </c>
      <c r="D286" s="1" t="s">
        <v>22</v>
      </c>
      <c r="E286" s="1" t="s">
        <v>23</v>
      </c>
      <c r="F286" s="1">
        <v>4021</v>
      </c>
      <c r="G286" s="1">
        <v>794</v>
      </c>
      <c r="H286" s="1">
        <v>77</v>
      </c>
      <c r="I286" s="1">
        <v>36189</v>
      </c>
      <c r="J286" s="1">
        <v>35505</v>
      </c>
      <c r="K286" s="1">
        <v>174</v>
      </c>
      <c r="L286" s="1" t="s">
        <v>264</v>
      </c>
      <c r="M286" s="1" t="s">
        <v>19</v>
      </c>
    </row>
    <row r="287" spans="1:13" ht="14.25" customHeight="1">
      <c r="A287" s="1" t="s">
        <v>533</v>
      </c>
      <c r="B287" s="1" t="s">
        <v>27</v>
      </c>
      <c r="C287" s="1" t="s">
        <v>534</v>
      </c>
      <c r="D287" s="1" t="s">
        <v>69</v>
      </c>
      <c r="E287" s="1" t="s">
        <v>70</v>
      </c>
      <c r="F287" s="1">
        <v>3389</v>
      </c>
      <c r="G287" s="1">
        <v>344</v>
      </c>
      <c r="H287" s="1">
        <v>229</v>
      </c>
      <c r="I287" s="1">
        <v>20334</v>
      </c>
      <c r="J287" s="1">
        <v>19443</v>
      </c>
      <c r="K287" s="1">
        <v>228</v>
      </c>
      <c r="L287" s="1" t="s">
        <v>29</v>
      </c>
      <c r="M287" s="1" t="s">
        <v>25</v>
      </c>
    </row>
    <row r="288" spans="1:13" ht="14.25" customHeight="1">
      <c r="A288" s="1" t="s">
        <v>535</v>
      </c>
      <c r="B288" s="1" t="s">
        <v>31</v>
      </c>
      <c r="C288" s="1" t="s">
        <v>399</v>
      </c>
      <c r="D288" s="1" t="s">
        <v>16</v>
      </c>
      <c r="E288" s="1" t="s">
        <v>17</v>
      </c>
      <c r="F288" s="1">
        <v>1164</v>
      </c>
      <c r="G288" s="1">
        <v>616</v>
      </c>
      <c r="H288" s="1">
        <v>324</v>
      </c>
      <c r="I288" s="1">
        <v>6984</v>
      </c>
      <c r="J288" s="1">
        <v>6636</v>
      </c>
      <c r="K288" s="1">
        <v>82</v>
      </c>
      <c r="L288" s="1" t="s">
        <v>285</v>
      </c>
      <c r="M288" s="1" t="s">
        <v>38</v>
      </c>
    </row>
    <row r="289" spans="1:13" ht="14.25" customHeight="1">
      <c r="A289" s="1" t="s">
        <v>536</v>
      </c>
      <c r="B289" s="1" t="s">
        <v>27</v>
      </c>
      <c r="C289" s="1" t="s">
        <v>537</v>
      </c>
      <c r="D289" s="1" t="s">
        <v>42</v>
      </c>
      <c r="E289" s="1" t="s">
        <v>43</v>
      </c>
      <c r="F289" s="1">
        <v>4780</v>
      </c>
      <c r="G289" s="1">
        <v>691</v>
      </c>
      <c r="H289" s="1">
        <v>380</v>
      </c>
      <c r="I289" s="1">
        <v>86040</v>
      </c>
      <c r="J289" s="1">
        <v>85743</v>
      </c>
      <c r="K289" s="1">
        <v>262</v>
      </c>
      <c r="L289" s="1" t="s">
        <v>71</v>
      </c>
      <c r="M289" s="1" t="s">
        <v>38</v>
      </c>
    </row>
    <row r="290" spans="1:13" ht="14.25" customHeight="1">
      <c r="A290" s="1" t="s">
        <v>538</v>
      </c>
      <c r="B290" s="1" t="s">
        <v>40</v>
      </c>
      <c r="C290" s="1" t="s">
        <v>304</v>
      </c>
      <c r="D290" s="1" t="s">
        <v>42</v>
      </c>
      <c r="E290" s="1" t="s">
        <v>43</v>
      </c>
      <c r="F290" s="1">
        <v>2751</v>
      </c>
      <c r="G290" s="1">
        <v>33</v>
      </c>
      <c r="H290" s="1">
        <v>430</v>
      </c>
      <c r="I290" s="1">
        <v>44016</v>
      </c>
      <c r="J290" s="1">
        <v>43415</v>
      </c>
      <c r="K290" s="1">
        <v>129</v>
      </c>
      <c r="L290" s="1" t="s">
        <v>214</v>
      </c>
      <c r="M290" s="1" t="s">
        <v>25</v>
      </c>
    </row>
    <row r="291" spans="1:13" ht="14.25" customHeight="1">
      <c r="A291" s="1" t="s">
        <v>539</v>
      </c>
      <c r="B291" s="1" t="s">
        <v>31</v>
      </c>
      <c r="C291" s="1" t="s">
        <v>540</v>
      </c>
      <c r="D291" s="1" t="s">
        <v>42</v>
      </c>
      <c r="E291" s="1" t="s">
        <v>43</v>
      </c>
      <c r="F291" s="1">
        <v>2107</v>
      </c>
      <c r="G291" s="1">
        <v>550</v>
      </c>
      <c r="H291" s="1">
        <v>349</v>
      </c>
      <c r="I291" s="1">
        <v>35819</v>
      </c>
      <c r="J291" s="1">
        <v>35340</v>
      </c>
      <c r="K291" s="1">
        <v>191</v>
      </c>
      <c r="L291" s="1" t="s">
        <v>44</v>
      </c>
      <c r="M291" s="1" t="s">
        <v>38</v>
      </c>
    </row>
    <row r="292" spans="1:13" ht="14.25" customHeight="1">
      <c r="A292" s="1" t="s">
        <v>541</v>
      </c>
      <c r="B292" s="1" t="s">
        <v>40</v>
      </c>
      <c r="C292" s="1" t="s">
        <v>91</v>
      </c>
      <c r="D292" s="1" t="s">
        <v>69</v>
      </c>
      <c r="E292" s="1" t="s">
        <v>70</v>
      </c>
      <c r="F292" s="1">
        <v>4663</v>
      </c>
      <c r="G292" s="1">
        <v>145</v>
      </c>
      <c r="H292" s="1">
        <v>225</v>
      </c>
      <c r="I292" s="1">
        <v>69945</v>
      </c>
      <c r="J292" s="1">
        <v>69596</v>
      </c>
      <c r="K292" s="1">
        <v>35</v>
      </c>
      <c r="L292" s="1" t="s">
        <v>24</v>
      </c>
      <c r="M292" s="1" t="s">
        <v>25</v>
      </c>
    </row>
    <row r="293" spans="1:13" ht="14.25" customHeight="1">
      <c r="A293" s="1" t="s">
        <v>542</v>
      </c>
      <c r="B293" s="1" t="s">
        <v>40</v>
      </c>
      <c r="C293" s="1" t="s">
        <v>543</v>
      </c>
      <c r="D293" s="1" t="s">
        <v>22</v>
      </c>
      <c r="E293" s="1" t="s">
        <v>23</v>
      </c>
      <c r="F293" s="1">
        <v>880</v>
      </c>
      <c r="G293" s="1">
        <v>297</v>
      </c>
      <c r="H293" s="1">
        <v>345</v>
      </c>
      <c r="I293" s="1">
        <v>12320</v>
      </c>
      <c r="J293" s="1">
        <v>11978</v>
      </c>
      <c r="K293" s="1">
        <v>238</v>
      </c>
      <c r="L293" s="1" t="s">
        <v>18</v>
      </c>
      <c r="M293" s="1" t="s">
        <v>25</v>
      </c>
    </row>
    <row r="294" spans="1:13" ht="14.25" customHeight="1">
      <c r="A294" s="1" t="s">
        <v>544</v>
      </c>
      <c r="B294" s="1" t="s">
        <v>40</v>
      </c>
      <c r="C294" s="1" t="s">
        <v>545</v>
      </c>
      <c r="D294" s="1" t="s">
        <v>22</v>
      </c>
      <c r="E294" s="1" t="s">
        <v>23</v>
      </c>
      <c r="F294" s="1">
        <v>2634</v>
      </c>
      <c r="G294" s="1">
        <v>726</v>
      </c>
      <c r="H294" s="1">
        <v>241</v>
      </c>
      <c r="I294" s="1">
        <v>28974</v>
      </c>
      <c r="J294" s="1">
        <v>28102</v>
      </c>
      <c r="K294" s="1">
        <v>277</v>
      </c>
      <c r="L294" s="1" t="s">
        <v>58</v>
      </c>
      <c r="M294" s="1" t="s">
        <v>38</v>
      </c>
    </row>
    <row r="295" spans="1:13" ht="14.25" customHeight="1">
      <c r="A295" s="1" t="s">
        <v>546</v>
      </c>
      <c r="B295" s="1" t="s">
        <v>40</v>
      </c>
      <c r="C295" s="1" t="s">
        <v>547</v>
      </c>
      <c r="D295" s="1" t="s">
        <v>42</v>
      </c>
      <c r="E295" s="1" t="s">
        <v>43</v>
      </c>
      <c r="F295" s="1">
        <v>4731</v>
      </c>
      <c r="G295" s="1">
        <v>173</v>
      </c>
      <c r="H295" s="1">
        <v>276</v>
      </c>
      <c r="I295" s="1">
        <v>28386</v>
      </c>
      <c r="J295" s="1">
        <v>28185</v>
      </c>
      <c r="K295" s="1">
        <v>89</v>
      </c>
      <c r="L295" s="1" t="s">
        <v>105</v>
      </c>
      <c r="M295" s="1" t="s">
        <v>55</v>
      </c>
    </row>
    <row r="296" spans="1:13" ht="14.25" customHeight="1">
      <c r="A296" s="1" t="s">
        <v>548</v>
      </c>
      <c r="B296" s="1" t="s">
        <v>14</v>
      </c>
      <c r="C296" s="1" t="s">
        <v>430</v>
      </c>
      <c r="D296" s="1" t="s">
        <v>49</v>
      </c>
      <c r="E296" s="1" t="s">
        <v>50</v>
      </c>
      <c r="F296" s="1">
        <v>1952</v>
      </c>
      <c r="G296" s="1">
        <v>344</v>
      </c>
      <c r="H296" s="1">
        <v>287</v>
      </c>
      <c r="I296" s="1">
        <v>15616</v>
      </c>
      <c r="J296" s="1">
        <v>15403</v>
      </c>
      <c r="K296" s="1">
        <v>235</v>
      </c>
      <c r="L296" s="1" t="s">
        <v>66</v>
      </c>
      <c r="M296" s="1" t="s">
        <v>38</v>
      </c>
    </row>
    <row r="297" spans="1:13" ht="14.25" customHeight="1">
      <c r="A297" s="1" t="s">
        <v>549</v>
      </c>
      <c r="B297" s="1" t="s">
        <v>14</v>
      </c>
      <c r="C297" s="1" t="s">
        <v>550</v>
      </c>
      <c r="D297" s="1" t="s">
        <v>69</v>
      </c>
      <c r="E297" s="1" t="s">
        <v>70</v>
      </c>
      <c r="F297" s="1">
        <v>3440</v>
      </c>
      <c r="G297" s="1">
        <v>13</v>
      </c>
      <c r="H297" s="1">
        <v>20</v>
      </c>
      <c r="I297" s="1">
        <v>58480</v>
      </c>
      <c r="J297" s="1">
        <v>58146</v>
      </c>
      <c r="K297" s="1">
        <v>210</v>
      </c>
      <c r="L297" s="1" t="s">
        <v>71</v>
      </c>
      <c r="M297" s="1" t="s">
        <v>19</v>
      </c>
    </row>
    <row r="298" spans="1:13" ht="14.25" customHeight="1">
      <c r="A298" s="1" t="s">
        <v>551</v>
      </c>
      <c r="B298" s="1" t="s">
        <v>14</v>
      </c>
      <c r="C298" s="1" t="s">
        <v>552</v>
      </c>
      <c r="D298" s="1" t="s">
        <v>22</v>
      </c>
      <c r="E298" s="1" t="s">
        <v>23</v>
      </c>
      <c r="F298" s="1">
        <v>2166</v>
      </c>
      <c r="G298" s="1">
        <v>354</v>
      </c>
      <c r="H298" s="1">
        <v>117</v>
      </c>
      <c r="I298" s="1">
        <v>10830</v>
      </c>
      <c r="J298" s="1">
        <v>10245</v>
      </c>
      <c r="K298" s="1">
        <v>24</v>
      </c>
      <c r="L298" s="1" t="s">
        <v>87</v>
      </c>
      <c r="M298" s="1" t="s">
        <v>19</v>
      </c>
    </row>
    <row r="299" spans="1:13" ht="14.25" customHeight="1">
      <c r="A299" s="1" t="s">
        <v>553</v>
      </c>
      <c r="B299" s="1" t="s">
        <v>40</v>
      </c>
      <c r="C299" s="1" t="s">
        <v>68</v>
      </c>
      <c r="D299" s="1" t="s">
        <v>49</v>
      </c>
      <c r="E299" s="1" t="s">
        <v>50</v>
      </c>
      <c r="F299" s="1">
        <v>4303</v>
      </c>
      <c r="G299" s="1">
        <v>451</v>
      </c>
      <c r="H299" s="1">
        <v>286</v>
      </c>
      <c r="I299" s="1">
        <v>86060</v>
      </c>
      <c r="J299" s="1">
        <v>85823</v>
      </c>
      <c r="K299" s="1">
        <v>14</v>
      </c>
      <c r="L299" s="1" t="s">
        <v>18</v>
      </c>
      <c r="M299" s="1" t="s">
        <v>25</v>
      </c>
    </row>
    <row r="300" spans="1:13" ht="14.25" customHeight="1">
      <c r="A300" s="1" t="s">
        <v>554</v>
      </c>
      <c r="B300" s="1" t="s">
        <v>40</v>
      </c>
      <c r="C300" s="1" t="s">
        <v>73</v>
      </c>
      <c r="D300" s="1" t="s">
        <v>49</v>
      </c>
      <c r="E300" s="1" t="s">
        <v>50</v>
      </c>
      <c r="F300" s="1">
        <v>2581</v>
      </c>
      <c r="G300" s="1">
        <v>517</v>
      </c>
      <c r="H300" s="1">
        <v>117</v>
      </c>
      <c r="I300" s="1">
        <v>23229</v>
      </c>
      <c r="J300" s="1">
        <v>22331</v>
      </c>
      <c r="K300" s="1">
        <v>70</v>
      </c>
      <c r="L300" s="1" t="s">
        <v>82</v>
      </c>
      <c r="M300" s="1" t="s">
        <v>25</v>
      </c>
    </row>
    <row r="301" spans="1:13" ht="14.25" customHeight="1">
      <c r="A301" s="1" t="s">
        <v>555</v>
      </c>
      <c r="B301" s="1" t="s">
        <v>14</v>
      </c>
      <c r="C301" s="1" t="s">
        <v>314</v>
      </c>
      <c r="D301" s="1" t="s">
        <v>42</v>
      </c>
      <c r="E301" s="1" t="s">
        <v>43</v>
      </c>
      <c r="F301" s="1">
        <v>4494</v>
      </c>
      <c r="G301" s="1">
        <v>717</v>
      </c>
      <c r="H301" s="1">
        <v>45</v>
      </c>
      <c r="I301" s="1">
        <v>62916</v>
      </c>
      <c r="J301" s="1">
        <v>62688</v>
      </c>
      <c r="K301" s="1">
        <v>191</v>
      </c>
      <c r="L301" s="1" t="s">
        <v>24</v>
      </c>
      <c r="M301" s="1" t="s">
        <v>19</v>
      </c>
    </row>
    <row r="302" spans="1:13" ht="14.25" customHeight="1"/>
    <row r="303" spans="1:13" ht="14.25" customHeight="1"/>
    <row r="304" spans="1:13"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G1000"/>
  <sheetViews>
    <sheetView topLeftCell="A135" workbookViewId="0">
      <selection activeCell="B29" sqref="B29"/>
    </sheetView>
  </sheetViews>
  <sheetFormatPr defaultColWidth="14.44140625" defaultRowHeight="15" customHeight="1"/>
  <cols>
    <col min="1" max="1" width="19.88671875" customWidth="1"/>
    <col min="2" max="2" width="13.44140625" customWidth="1"/>
    <col min="3" max="3" width="15.5546875" customWidth="1"/>
    <col min="4" max="4" width="11.33203125" customWidth="1"/>
    <col min="5" max="5" width="16" customWidth="1"/>
    <col min="6" max="6" width="18.21875" customWidth="1"/>
    <col min="7" max="7" width="11.5546875" customWidth="1"/>
    <col min="8" max="26" width="8.6640625" customWidth="1"/>
  </cols>
  <sheetData>
    <row r="1" spans="1:7" ht="14.25" customHeight="1">
      <c r="A1" s="1" t="s">
        <v>556</v>
      </c>
      <c r="B1" s="1" t="s">
        <v>1</v>
      </c>
      <c r="C1" s="1" t="s">
        <v>557</v>
      </c>
      <c r="D1" s="1" t="s">
        <v>558</v>
      </c>
      <c r="E1" s="1" t="s">
        <v>559</v>
      </c>
      <c r="F1" s="1" t="s">
        <v>560</v>
      </c>
      <c r="G1" s="1" t="s">
        <v>561</v>
      </c>
    </row>
    <row r="2" spans="1:7" ht="14.25" hidden="1" customHeight="1">
      <c r="A2" s="2">
        <v>45789</v>
      </c>
      <c r="B2" s="1" t="s">
        <v>31</v>
      </c>
      <c r="C2" s="1">
        <v>1765</v>
      </c>
      <c r="D2" s="1">
        <v>109</v>
      </c>
      <c r="E2" s="1">
        <v>468301</v>
      </c>
      <c r="F2" s="1">
        <v>1.82</v>
      </c>
      <c r="G2" s="1">
        <v>20042</v>
      </c>
    </row>
    <row r="3" spans="1:7" ht="14.25" customHeight="1">
      <c r="A3" s="2">
        <v>45789</v>
      </c>
      <c r="B3" s="1" t="s">
        <v>40</v>
      </c>
      <c r="C3" s="1">
        <v>837</v>
      </c>
      <c r="D3" s="1">
        <v>430</v>
      </c>
      <c r="E3" s="1">
        <v>364820</v>
      </c>
      <c r="F3" s="1">
        <v>4</v>
      </c>
      <c r="G3" s="1">
        <v>49400</v>
      </c>
    </row>
    <row r="4" spans="1:7" ht="14.25" hidden="1" customHeight="1">
      <c r="A4" s="2">
        <v>45789</v>
      </c>
      <c r="B4" s="1" t="s">
        <v>14</v>
      </c>
      <c r="C4" s="1">
        <v>337</v>
      </c>
      <c r="D4" s="1">
        <v>68</v>
      </c>
      <c r="E4" s="1">
        <v>456298</v>
      </c>
      <c r="F4" s="1">
        <v>7.57</v>
      </c>
      <c r="G4" s="1">
        <v>4007</v>
      </c>
    </row>
    <row r="5" spans="1:7" ht="14.25" hidden="1" customHeight="1">
      <c r="A5" s="2">
        <v>45789</v>
      </c>
      <c r="B5" s="1" t="s">
        <v>27</v>
      </c>
      <c r="C5" s="1">
        <v>119</v>
      </c>
      <c r="D5" s="1">
        <v>456</v>
      </c>
      <c r="E5" s="1">
        <v>82558</v>
      </c>
      <c r="F5" s="1">
        <v>6.81</v>
      </c>
      <c r="G5" s="1">
        <v>12174</v>
      </c>
    </row>
    <row r="6" spans="1:7" ht="14.25" hidden="1" customHeight="1">
      <c r="A6" s="2">
        <v>45782</v>
      </c>
      <c r="B6" s="1" t="s">
        <v>31</v>
      </c>
      <c r="C6" s="1">
        <v>1957</v>
      </c>
      <c r="D6" s="1">
        <v>76</v>
      </c>
      <c r="E6" s="1">
        <v>447902</v>
      </c>
      <c r="F6" s="1">
        <v>6.09</v>
      </c>
      <c r="G6" s="1">
        <v>33381</v>
      </c>
    </row>
    <row r="7" spans="1:7" ht="14.25" customHeight="1">
      <c r="A7" s="2">
        <v>45782</v>
      </c>
      <c r="B7" s="1" t="s">
        <v>40</v>
      </c>
      <c r="C7" s="1">
        <v>405</v>
      </c>
      <c r="D7" s="1">
        <v>66</v>
      </c>
      <c r="E7" s="1">
        <v>418696</v>
      </c>
      <c r="F7" s="1">
        <v>5.59</v>
      </c>
      <c r="G7" s="1">
        <v>48419</v>
      </c>
    </row>
    <row r="8" spans="1:7" ht="14.25" hidden="1" customHeight="1">
      <c r="A8" s="2">
        <v>45782</v>
      </c>
      <c r="B8" s="1" t="s">
        <v>14</v>
      </c>
      <c r="C8" s="1">
        <v>1581</v>
      </c>
      <c r="D8" s="1">
        <v>71</v>
      </c>
      <c r="E8" s="1">
        <v>484364</v>
      </c>
      <c r="F8" s="1">
        <v>3.55</v>
      </c>
      <c r="G8" s="1">
        <v>16149</v>
      </c>
    </row>
    <row r="9" spans="1:7" ht="14.25" hidden="1" customHeight="1">
      <c r="A9" s="2">
        <v>45782</v>
      </c>
      <c r="B9" s="1" t="s">
        <v>27</v>
      </c>
      <c r="C9" s="1">
        <v>1035</v>
      </c>
      <c r="D9" s="1">
        <v>171</v>
      </c>
      <c r="E9" s="1">
        <v>148477</v>
      </c>
      <c r="F9" s="1">
        <v>5.21</v>
      </c>
      <c r="G9" s="1">
        <v>7541</v>
      </c>
    </row>
    <row r="10" spans="1:7" ht="14.25" hidden="1" customHeight="1">
      <c r="A10" s="2">
        <v>45775</v>
      </c>
      <c r="B10" s="1" t="s">
        <v>31</v>
      </c>
      <c r="C10" s="1">
        <v>1693</v>
      </c>
      <c r="D10" s="1">
        <v>154</v>
      </c>
      <c r="E10" s="1">
        <v>445944</v>
      </c>
      <c r="F10" s="1">
        <v>5.69</v>
      </c>
      <c r="G10" s="1">
        <v>14216</v>
      </c>
    </row>
    <row r="11" spans="1:7" ht="14.25" customHeight="1">
      <c r="A11" s="2">
        <v>45775</v>
      </c>
      <c r="B11" s="1" t="s">
        <v>40</v>
      </c>
      <c r="C11" s="1">
        <v>833</v>
      </c>
      <c r="D11" s="1">
        <v>380</v>
      </c>
      <c r="E11" s="1">
        <v>224830</v>
      </c>
      <c r="F11" s="1">
        <v>3.86</v>
      </c>
      <c r="G11" s="1">
        <v>3582</v>
      </c>
    </row>
    <row r="12" spans="1:7" ht="14.25" hidden="1" customHeight="1">
      <c r="A12" s="2">
        <v>45775</v>
      </c>
      <c r="B12" s="1" t="s">
        <v>14</v>
      </c>
      <c r="C12" s="1">
        <v>1222</v>
      </c>
      <c r="D12" s="1">
        <v>274</v>
      </c>
      <c r="E12" s="1">
        <v>487289</v>
      </c>
      <c r="F12" s="1">
        <v>3.16</v>
      </c>
      <c r="G12" s="1">
        <v>32500</v>
      </c>
    </row>
    <row r="13" spans="1:7" ht="14.25" hidden="1" customHeight="1">
      <c r="A13" s="2">
        <v>45775</v>
      </c>
      <c r="B13" s="1" t="s">
        <v>27</v>
      </c>
      <c r="C13" s="1">
        <v>777</v>
      </c>
      <c r="D13" s="1">
        <v>140</v>
      </c>
      <c r="E13" s="1">
        <v>11435</v>
      </c>
      <c r="F13" s="1">
        <v>1.6</v>
      </c>
      <c r="G13" s="1">
        <v>6832</v>
      </c>
    </row>
    <row r="14" spans="1:7" ht="14.25" hidden="1" customHeight="1">
      <c r="A14" s="2">
        <v>45768</v>
      </c>
      <c r="B14" s="1" t="s">
        <v>31</v>
      </c>
      <c r="C14" s="1">
        <v>961</v>
      </c>
      <c r="D14" s="1">
        <v>358</v>
      </c>
      <c r="E14" s="1">
        <v>62942</v>
      </c>
      <c r="F14" s="1">
        <v>6.8</v>
      </c>
      <c r="G14" s="1">
        <v>18693</v>
      </c>
    </row>
    <row r="15" spans="1:7" ht="14.25" customHeight="1">
      <c r="A15" s="2">
        <v>45768</v>
      </c>
      <c r="B15" s="1" t="s">
        <v>40</v>
      </c>
      <c r="C15" s="1">
        <v>1375</v>
      </c>
      <c r="D15" s="1">
        <v>330</v>
      </c>
      <c r="E15" s="1">
        <v>377382</v>
      </c>
      <c r="F15" s="1">
        <v>2.6</v>
      </c>
      <c r="G15" s="1">
        <v>7875</v>
      </c>
    </row>
    <row r="16" spans="1:7" ht="14.25" hidden="1" customHeight="1">
      <c r="A16" s="2">
        <v>45768</v>
      </c>
      <c r="B16" s="1" t="s">
        <v>14</v>
      </c>
      <c r="C16" s="1">
        <v>1147</v>
      </c>
      <c r="D16" s="1">
        <v>388</v>
      </c>
      <c r="E16" s="1">
        <v>333851</v>
      </c>
      <c r="F16" s="1">
        <v>2.44</v>
      </c>
      <c r="G16" s="1">
        <v>8471</v>
      </c>
    </row>
    <row r="17" spans="1:7" ht="14.25" hidden="1" customHeight="1">
      <c r="A17" s="2">
        <v>45768</v>
      </c>
      <c r="B17" s="1" t="s">
        <v>27</v>
      </c>
      <c r="C17" s="1">
        <v>1707</v>
      </c>
      <c r="D17" s="1">
        <v>74</v>
      </c>
      <c r="E17" s="1">
        <v>270958</v>
      </c>
      <c r="F17" s="1">
        <v>3.09</v>
      </c>
      <c r="G17" s="1">
        <v>14090</v>
      </c>
    </row>
    <row r="18" spans="1:7" ht="14.25" hidden="1" customHeight="1">
      <c r="A18" s="2">
        <v>45761</v>
      </c>
      <c r="B18" s="1" t="s">
        <v>31</v>
      </c>
      <c r="C18" s="1">
        <v>198</v>
      </c>
      <c r="D18" s="1">
        <v>358</v>
      </c>
      <c r="E18" s="1">
        <v>66682</v>
      </c>
      <c r="F18" s="1">
        <v>6.73</v>
      </c>
      <c r="G18" s="1">
        <v>2293</v>
      </c>
    </row>
    <row r="19" spans="1:7" ht="14.25" customHeight="1">
      <c r="A19" s="2">
        <v>45761</v>
      </c>
      <c r="B19" s="1" t="s">
        <v>40</v>
      </c>
      <c r="C19" s="1">
        <v>198</v>
      </c>
      <c r="D19" s="1">
        <v>373</v>
      </c>
      <c r="E19" s="1">
        <v>70707</v>
      </c>
      <c r="F19" s="1">
        <v>4.83</v>
      </c>
      <c r="G19" s="1">
        <v>25920</v>
      </c>
    </row>
    <row r="20" spans="1:7" ht="14.25" hidden="1" customHeight="1">
      <c r="A20" s="2">
        <v>45761</v>
      </c>
      <c r="B20" s="1" t="s">
        <v>14</v>
      </c>
      <c r="C20" s="1">
        <v>353</v>
      </c>
      <c r="D20" s="1">
        <v>300</v>
      </c>
      <c r="E20" s="1">
        <v>142507</v>
      </c>
      <c r="F20" s="1">
        <v>5.3</v>
      </c>
      <c r="G20" s="1">
        <v>11035</v>
      </c>
    </row>
    <row r="21" spans="1:7" ht="14.25" hidden="1" customHeight="1">
      <c r="A21" s="2">
        <v>45761</v>
      </c>
      <c r="B21" s="1" t="s">
        <v>27</v>
      </c>
      <c r="C21" s="1">
        <v>520</v>
      </c>
      <c r="D21" s="1">
        <v>375</v>
      </c>
      <c r="E21" s="1">
        <v>369525</v>
      </c>
      <c r="F21" s="1">
        <v>6.54</v>
      </c>
      <c r="G21" s="1">
        <v>20733</v>
      </c>
    </row>
    <row r="22" spans="1:7" ht="14.25" hidden="1" customHeight="1">
      <c r="A22" s="2">
        <v>45754</v>
      </c>
      <c r="B22" s="1" t="s">
        <v>31</v>
      </c>
      <c r="C22" s="1">
        <v>559</v>
      </c>
      <c r="D22" s="1">
        <v>392</v>
      </c>
      <c r="E22" s="1">
        <v>78789</v>
      </c>
      <c r="F22" s="1">
        <v>3.19</v>
      </c>
      <c r="G22" s="1">
        <v>2436</v>
      </c>
    </row>
    <row r="23" spans="1:7" ht="14.25" customHeight="1">
      <c r="A23" s="2">
        <v>45754</v>
      </c>
      <c r="B23" s="1" t="s">
        <v>40</v>
      </c>
      <c r="C23" s="1">
        <v>1307</v>
      </c>
      <c r="D23" s="1">
        <v>278</v>
      </c>
      <c r="E23" s="1">
        <v>98596</v>
      </c>
      <c r="F23" s="1">
        <v>2.4900000000000002</v>
      </c>
      <c r="G23" s="1">
        <v>47603</v>
      </c>
    </row>
    <row r="24" spans="1:7" ht="14.25" hidden="1" customHeight="1">
      <c r="A24" s="2">
        <v>45754</v>
      </c>
      <c r="B24" s="1" t="s">
        <v>14</v>
      </c>
      <c r="C24" s="1">
        <v>1432</v>
      </c>
      <c r="D24" s="1">
        <v>425</v>
      </c>
      <c r="E24" s="1">
        <v>29589</v>
      </c>
      <c r="F24" s="1">
        <v>4.5</v>
      </c>
      <c r="G24" s="1">
        <v>42964</v>
      </c>
    </row>
    <row r="25" spans="1:7" ht="14.25" hidden="1" customHeight="1">
      <c r="A25" s="2">
        <v>45754</v>
      </c>
      <c r="B25" s="1" t="s">
        <v>27</v>
      </c>
      <c r="C25" s="1">
        <v>623</v>
      </c>
      <c r="D25" s="1">
        <v>414</v>
      </c>
      <c r="E25" s="1">
        <v>290354</v>
      </c>
      <c r="F25" s="1">
        <v>6.49</v>
      </c>
      <c r="G25" s="1">
        <v>39923</v>
      </c>
    </row>
    <row r="26" spans="1:7" ht="14.25" hidden="1" customHeight="1">
      <c r="A26" s="2">
        <v>45747</v>
      </c>
      <c r="B26" s="1" t="s">
        <v>31</v>
      </c>
      <c r="C26" s="1">
        <v>1033</v>
      </c>
      <c r="D26" s="1">
        <v>392</v>
      </c>
      <c r="E26" s="1">
        <v>282780</v>
      </c>
      <c r="F26" s="1">
        <v>6.27</v>
      </c>
      <c r="G26" s="1">
        <v>23140</v>
      </c>
    </row>
    <row r="27" spans="1:7" ht="14.25" customHeight="1">
      <c r="A27" s="2">
        <v>45747</v>
      </c>
      <c r="B27" s="1" t="s">
        <v>40</v>
      </c>
      <c r="C27" s="1">
        <v>988</v>
      </c>
      <c r="D27" s="1">
        <v>474</v>
      </c>
      <c r="E27" s="1">
        <v>370070</v>
      </c>
      <c r="F27" s="1">
        <v>9.4600000000000009</v>
      </c>
      <c r="G27" s="1">
        <v>23461</v>
      </c>
    </row>
    <row r="28" spans="1:7" ht="14.25" hidden="1" customHeight="1">
      <c r="A28" s="2">
        <v>45747</v>
      </c>
      <c r="B28" s="1" t="s">
        <v>14</v>
      </c>
      <c r="C28" s="1">
        <v>1946</v>
      </c>
      <c r="D28" s="1">
        <v>270</v>
      </c>
      <c r="E28" s="1">
        <v>198350</v>
      </c>
      <c r="F28" s="1">
        <v>7.5</v>
      </c>
      <c r="G28" s="1">
        <v>11805</v>
      </c>
    </row>
    <row r="29" spans="1:7" ht="14.25" hidden="1" customHeight="1">
      <c r="A29" s="2">
        <v>45747</v>
      </c>
      <c r="B29" s="1" t="s">
        <v>27</v>
      </c>
      <c r="C29" s="1">
        <v>1957</v>
      </c>
      <c r="D29" s="1">
        <v>490</v>
      </c>
      <c r="E29" s="1">
        <v>435726</v>
      </c>
      <c r="F29" s="1">
        <v>4.7300000000000004</v>
      </c>
      <c r="G29" s="1">
        <v>15969</v>
      </c>
    </row>
    <row r="30" spans="1:7" ht="14.25" hidden="1" customHeight="1">
      <c r="A30" s="2">
        <v>45740</v>
      </c>
      <c r="B30" s="1" t="s">
        <v>31</v>
      </c>
      <c r="C30" s="1">
        <v>490</v>
      </c>
      <c r="D30" s="1">
        <v>29</v>
      </c>
      <c r="E30" s="1">
        <v>364810</v>
      </c>
      <c r="F30" s="1">
        <v>1.53</v>
      </c>
      <c r="G30" s="1">
        <v>49077</v>
      </c>
    </row>
    <row r="31" spans="1:7" ht="14.25" customHeight="1">
      <c r="A31" s="2">
        <v>45740</v>
      </c>
      <c r="B31" s="1" t="s">
        <v>40</v>
      </c>
      <c r="C31" s="1">
        <v>609</v>
      </c>
      <c r="D31" s="1">
        <v>135</v>
      </c>
      <c r="E31" s="1">
        <v>373606</v>
      </c>
      <c r="F31" s="1">
        <v>8.52</v>
      </c>
      <c r="G31" s="1">
        <v>21453</v>
      </c>
    </row>
    <row r="32" spans="1:7" ht="14.25" hidden="1" customHeight="1">
      <c r="A32" s="2">
        <v>45740</v>
      </c>
      <c r="B32" s="1" t="s">
        <v>14</v>
      </c>
      <c r="C32" s="1">
        <v>364</v>
      </c>
      <c r="D32" s="1">
        <v>72</v>
      </c>
      <c r="E32" s="1">
        <v>211090</v>
      </c>
      <c r="F32" s="1">
        <v>5.53</v>
      </c>
      <c r="G32" s="1">
        <v>21061</v>
      </c>
    </row>
    <row r="33" spans="1:7" ht="14.25" hidden="1" customHeight="1">
      <c r="A33" s="2">
        <v>45740</v>
      </c>
      <c r="B33" s="1" t="s">
        <v>27</v>
      </c>
      <c r="C33" s="1">
        <v>442</v>
      </c>
      <c r="D33" s="1">
        <v>53</v>
      </c>
      <c r="E33" s="1">
        <v>441931</v>
      </c>
      <c r="F33" s="1">
        <v>1.87</v>
      </c>
      <c r="G33" s="1">
        <v>20059</v>
      </c>
    </row>
    <row r="34" spans="1:7" ht="14.25" hidden="1" customHeight="1">
      <c r="A34" s="2">
        <v>45733</v>
      </c>
      <c r="B34" s="1" t="s">
        <v>31</v>
      </c>
      <c r="C34" s="1">
        <v>1102</v>
      </c>
      <c r="D34" s="1">
        <v>422</v>
      </c>
      <c r="E34" s="1">
        <v>410330</v>
      </c>
      <c r="F34" s="1">
        <v>7.74</v>
      </c>
      <c r="G34" s="1">
        <v>9480</v>
      </c>
    </row>
    <row r="35" spans="1:7" ht="14.25" customHeight="1">
      <c r="A35" s="2">
        <v>45733</v>
      </c>
      <c r="B35" s="1" t="s">
        <v>40</v>
      </c>
      <c r="C35" s="1">
        <v>1358</v>
      </c>
      <c r="D35" s="1">
        <v>242</v>
      </c>
      <c r="E35" s="1">
        <v>342129</v>
      </c>
      <c r="F35" s="1">
        <v>4.9400000000000004</v>
      </c>
      <c r="G35" s="1">
        <v>29116</v>
      </c>
    </row>
    <row r="36" spans="1:7" ht="14.25" hidden="1" customHeight="1">
      <c r="A36" s="2">
        <v>45733</v>
      </c>
      <c r="B36" s="1" t="s">
        <v>14</v>
      </c>
      <c r="C36" s="1">
        <v>1077</v>
      </c>
      <c r="D36" s="1">
        <v>216</v>
      </c>
      <c r="E36" s="1">
        <v>12447</v>
      </c>
      <c r="F36" s="1">
        <v>1.8</v>
      </c>
      <c r="G36" s="1">
        <v>14068</v>
      </c>
    </row>
    <row r="37" spans="1:7" ht="14.25" hidden="1" customHeight="1">
      <c r="A37" s="2">
        <v>45733</v>
      </c>
      <c r="B37" s="1" t="s">
        <v>27</v>
      </c>
      <c r="C37" s="1">
        <v>1596</v>
      </c>
      <c r="D37" s="1">
        <v>211</v>
      </c>
      <c r="E37" s="1">
        <v>17380</v>
      </c>
      <c r="F37" s="1">
        <v>8.64</v>
      </c>
      <c r="G37" s="1">
        <v>35801</v>
      </c>
    </row>
    <row r="38" spans="1:7" ht="14.25" hidden="1" customHeight="1">
      <c r="A38" s="2">
        <v>45726</v>
      </c>
      <c r="B38" s="1" t="s">
        <v>31</v>
      </c>
      <c r="C38" s="1">
        <v>393</v>
      </c>
      <c r="D38" s="1">
        <v>181</v>
      </c>
      <c r="E38" s="1">
        <v>462142</v>
      </c>
      <c r="F38" s="1">
        <v>7.23</v>
      </c>
      <c r="G38" s="1">
        <v>6296</v>
      </c>
    </row>
    <row r="39" spans="1:7" ht="14.25" customHeight="1">
      <c r="A39" s="2">
        <v>45726</v>
      </c>
      <c r="B39" s="1" t="s">
        <v>40</v>
      </c>
      <c r="C39" s="1">
        <v>1098</v>
      </c>
      <c r="D39" s="1">
        <v>190</v>
      </c>
      <c r="E39" s="1">
        <v>340842</v>
      </c>
      <c r="F39" s="1">
        <v>9.39</v>
      </c>
      <c r="G39" s="1">
        <v>21539</v>
      </c>
    </row>
    <row r="40" spans="1:7" ht="14.25" hidden="1" customHeight="1">
      <c r="A40" s="2">
        <v>45726</v>
      </c>
      <c r="B40" s="1" t="s">
        <v>14</v>
      </c>
      <c r="C40" s="1">
        <v>1399</v>
      </c>
      <c r="D40" s="1">
        <v>49</v>
      </c>
      <c r="E40" s="1">
        <v>12471</v>
      </c>
      <c r="F40" s="1">
        <v>5.12</v>
      </c>
      <c r="G40" s="1">
        <v>14722</v>
      </c>
    </row>
    <row r="41" spans="1:7" ht="14.25" hidden="1" customHeight="1">
      <c r="A41" s="2">
        <v>45726</v>
      </c>
      <c r="B41" s="1" t="s">
        <v>27</v>
      </c>
      <c r="C41" s="1">
        <v>1658</v>
      </c>
      <c r="D41" s="1">
        <v>416</v>
      </c>
      <c r="E41" s="1">
        <v>98397</v>
      </c>
      <c r="F41" s="1">
        <v>6.11</v>
      </c>
      <c r="G41" s="1">
        <v>11383</v>
      </c>
    </row>
    <row r="42" spans="1:7" ht="14.25" hidden="1" customHeight="1">
      <c r="A42" s="2">
        <v>45719</v>
      </c>
      <c r="B42" s="1" t="s">
        <v>31</v>
      </c>
      <c r="C42" s="1">
        <v>1371</v>
      </c>
      <c r="D42" s="1">
        <v>56</v>
      </c>
      <c r="E42" s="1">
        <v>257579</v>
      </c>
      <c r="F42" s="1">
        <v>8.6199999999999992</v>
      </c>
      <c r="G42" s="1">
        <v>33799</v>
      </c>
    </row>
    <row r="43" spans="1:7" ht="14.25" customHeight="1">
      <c r="A43" s="2">
        <v>45719</v>
      </c>
      <c r="B43" s="1" t="s">
        <v>40</v>
      </c>
      <c r="C43" s="1">
        <v>345</v>
      </c>
      <c r="D43" s="1">
        <v>464</v>
      </c>
      <c r="E43" s="1">
        <v>366881</v>
      </c>
      <c r="F43" s="1">
        <v>4.55</v>
      </c>
      <c r="G43" s="1">
        <v>20553</v>
      </c>
    </row>
    <row r="44" spans="1:7" ht="14.25" hidden="1" customHeight="1">
      <c r="A44" s="2">
        <v>45719</v>
      </c>
      <c r="B44" s="1" t="s">
        <v>14</v>
      </c>
      <c r="C44" s="1">
        <v>946</v>
      </c>
      <c r="D44" s="1">
        <v>47</v>
      </c>
      <c r="E44" s="1">
        <v>466575</v>
      </c>
      <c r="F44" s="1">
        <v>8.33</v>
      </c>
      <c r="G44" s="1">
        <v>10002</v>
      </c>
    </row>
    <row r="45" spans="1:7" ht="14.25" hidden="1" customHeight="1">
      <c r="A45" s="2">
        <v>45719</v>
      </c>
      <c r="B45" s="1" t="s">
        <v>27</v>
      </c>
      <c r="C45" s="1">
        <v>510</v>
      </c>
      <c r="D45" s="1">
        <v>195</v>
      </c>
      <c r="E45" s="1">
        <v>224534</v>
      </c>
      <c r="F45" s="1">
        <v>9.4</v>
      </c>
      <c r="G45" s="1">
        <v>30987</v>
      </c>
    </row>
    <row r="46" spans="1:7" ht="14.25" hidden="1" customHeight="1">
      <c r="A46" s="2">
        <v>45712</v>
      </c>
      <c r="B46" s="1" t="s">
        <v>31</v>
      </c>
      <c r="C46" s="1">
        <v>1440</v>
      </c>
      <c r="D46" s="1">
        <v>65</v>
      </c>
      <c r="E46" s="1">
        <v>126524</v>
      </c>
      <c r="F46" s="1">
        <v>4.34</v>
      </c>
      <c r="G46" s="1">
        <v>49772</v>
      </c>
    </row>
    <row r="47" spans="1:7" ht="14.25" customHeight="1">
      <c r="A47" s="2">
        <v>45712</v>
      </c>
      <c r="B47" s="1" t="s">
        <v>40</v>
      </c>
      <c r="C47" s="1">
        <v>1884</v>
      </c>
      <c r="D47" s="1">
        <v>177</v>
      </c>
      <c r="E47" s="1">
        <v>230448</v>
      </c>
      <c r="F47" s="1">
        <v>7.8</v>
      </c>
      <c r="G47" s="1">
        <v>22713</v>
      </c>
    </row>
    <row r="48" spans="1:7" ht="14.25" hidden="1" customHeight="1">
      <c r="A48" s="2">
        <v>45712</v>
      </c>
      <c r="B48" s="1" t="s">
        <v>14</v>
      </c>
      <c r="C48" s="1">
        <v>861</v>
      </c>
      <c r="D48" s="1">
        <v>153</v>
      </c>
      <c r="E48" s="1">
        <v>317007</v>
      </c>
      <c r="F48" s="1">
        <v>3.85</v>
      </c>
      <c r="G48" s="1">
        <v>8718</v>
      </c>
    </row>
    <row r="49" spans="1:7" ht="14.25" hidden="1" customHeight="1">
      <c r="A49" s="2">
        <v>45712</v>
      </c>
      <c r="B49" s="1" t="s">
        <v>27</v>
      </c>
      <c r="C49" s="1">
        <v>1063</v>
      </c>
      <c r="D49" s="1">
        <v>47</v>
      </c>
      <c r="E49" s="1">
        <v>464239</v>
      </c>
      <c r="F49" s="1">
        <v>6.58</v>
      </c>
      <c r="G49" s="1">
        <v>39031</v>
      </c>
    </row>
    <row r="50" spans="1:7" ht="14.25" hidden="1" customHeight="1">
      <c r="A50" s="2">
        <v>45705</v>
      </c>
      <c r="B50" s="1" t="s">
        <v>31</v>
      </c>
      <c r="C50" s="1">
        <v>1138</v>
      </c>
      <c r="D50" s="1">
        <v>173</v>
      </c>
      <c r="E50" s="1">
        <v>453243</v>
      </c>
      <c r="F50" s="1">
        <v>2.86</v>
      </c>
      <c r="G50" s="1">
        <v>44097</v>
      </c>
    </row>
    <row r="51" spans="1:7" ht="14.25" customHeight="1">
      <c r="A51" s="2">
        <v>45705</v>
      </c>
      <c r="B51" s="1" t="s">
        <v>40</v>
      </c>
      <c r="C51" s="1">
        <v>1895</v>
      </c>
      <c r="D51" s="1">
        <v>305</v>
      </c>
      <c r="E51" s="1">
        <v>104967</v>
      </c>
      <c r="F51" s="1">
        <v>3.85</v>
      </c>
      <c r="G51" s="1">
        <v>31853</v>
      </c>
    </row>
    <row r="52" spans="1:7" ht="14.25" hidden="1" customHeight="1">
      <c r="A52" s="2">
        <v>45705</v>
      </c>
      <c r="B52" s="1" t="s">
        <v>14</v>
      </c>
      <c r="C52" s="1">
        <v>362</v>
      </c>
      <c r="D52" s="1">
        <v>399</v>
      </c>
      <c r="E52" s="1">
        <v>145608</v>
      </c>
      <c r="F52" s="1">
        <v>7.3</v>
      </c>
      <c r="G52" s="1">
        <v>37636</v>
      </c>
    </row>
    <row r="53" spans="1:7" ht="14.25" hidden="1" customHeight="1">
      <c r="A53" s="2">
        <v>45705</v>
      </c>
      <c r="B53" s="1" t="s">
        <v>27</v>
      </c>
      <c r="C53" s="1">
        <v>1662</v>
      </c>
      <c r="D53" s="1">
        <v>487</v>
      </c>
      <c r="E53" s="1">
        <v>105980</v>
      </c>
      <c r="F53" s="1">
        <v>9.08</v>
      </c>
      <c r="G53" s="1">
        <v>22996</v>
      </c>
    </row>
    <row r="54" spans="1:7" ht="14.25" hidden="1" customHeight="1">
      <c r="A54" s="2">
        <v>45698</v>
      </c>
      <c r="B54" s="1" t="s">
        <v>31</v>
      </c>
      <c r="C54" s="1">
        <v>1957</v>
      </c>
      <c r="D54" s="1">
        <v>234</v>
      </c>
      <c r="E54" s="1">
        <v>222126</v>
      </c>
      <c r="F54" s="1">
        <v>4.6100000000000003</v>
      </c>
      <c r="G54" s="1">
        <v>3314</v>
      </c>
    </row>
    <row r="55" spans="1:7" ht="14.25" customHeight="1">
      <c r="A55" s="2">
        <v>45698</v>
      </c>
      <c r="B55" s="1" t="s">
        <v>40</v>
      </c>
      <c r="C55" s="1">
        <v>1294</v>
      </c>
      <c r="D55" s="1">
        <v>382</v>
      </c>
      <c r="E55" s="1">
        <v>309914</v>
      </c>
      <c r="F55" s="1">
        <v>8.0299999999999994</v>
      </c>
      <c r="G55" s="1">
        <v>23489</v>
      </c>
    </row>
    <row r="56" spans="1:7" ht="14.25" hidden="1" customHeight="1">
      <c r="A56" s="2">
        <v>45698</v>
      </c>
      <c r="B56" s="1" t="s">
        <v>14</v>
      </c>
      <c r="C56" s="1">
        <v>1587</v>
      </c>
      <c r="D56" s="1">
        <v>385</v>
      </c>
      <c r="E56" s="1">
        <v>126582</v>
      </c>
      <c r="F56" s="1">
        <v>6.99</v>
      </c>
      <c r="G56" s="1">
        <v>42832</v>
      </c>
    </row>
    <row r="57" spans="1:7" ht="14.25" hidden="1" customHeight="1">
      <c r="A57" s="2">
        <v>45698</v>
      </c>
      <c r="B57" s="1" t="s">
        <v>27</v>
      </c>
      <c r="C57" s="1">
        <v>1707</v>
      </c>
      <c r="D57" s="1">
        <v>263</v>
      </c>
      <c r="E57" s="1">
        <v>485280</v>
      </c>
      <c r="F57" s="1">
        <v>9.0299999999999994</v>
      </c>
      <c r="G57" s="1">
        <v>24494</v>
      </c>
    </row>
    <row r="58" spans="1:7" ht="14.25" hidden="1" customHeight="1">
      <c r="A58" s="2">
        <v>45691</v>
      </c>
      <c r="B58" s="1" t="s">
        <v>31</v>
      </c>
      <c r="C58" s="1">
        <v>1556</v>
      </c>
      <c r="D58" s="1">
        <v>476</v>
      </c>
      <c r="E58" s="1">
        <v>351556</v>
      </c>
      <c r="F58" s="1">
        <v>3.89</v>
      </c>
      <c r="G58" s="1">
        <v>10825</v>
      </c>
    </row>
    <row r="59" spans="1:7" ht="14.25" customHeight="1">
      <c r="A59" s="2">
        <v>45691</v>
      </c>
      <c r="B59" s="1" t="s">
        <v>40</v>
      </c>
      <c r="C59" s="1">
        <v>1159</v>
      </c>
      <c r="D59" s="1">
        <v>411</v>
      </c>
      <c r="E59" s="1">
        <v>135987</v>
      </c>
      <c r="F59" s="1">
        <v>8.6999999999999993</v>
      </c>
      <c r="G59" s="1">
        <v>40323</v>
      </c>
    </row>
    <row r="60" spans="1:7" ht="14.25" hidden="1" customHeight="1">
      <c r="A60" s="2">
        <v>45691</v>
      </c>
      <c r="B60" s="1" t="s">
        <v>14</v>
      </c>
      <c r="C60" s="1">
        <v>927</v>
      </c>
      <c r="D60" s="1">
        <v>358</v>
      </c>
      <c r="E60" s="1">
        <v>177554</v>
      </c>
      <c r="F60" s="1">
        <v>6.95</v>
      </c>
      <c r="G60" s="1">
        <v>48270</v>
      </c>
    </row>
    <row r="61" spans="1:7" ht="14.25" hidden="1" customHeight="1">
      <c r="A61" s="2">
        <v>45691</v>
      </c>
      <c r="B61" s="1" t="s">
        <v>27</v>
      </c>
      <c r="C61" s="1">
        <v>152</v>
      </c>
      <c r="D61" s="1">
        <v>355</v>
      </c>
      <c r="E61" s="1">
        <v>270766</v>
      </c>
      <c r="F61" s="1">
        <v>9.48</v>
      </c>
      <c r="G61" s="1">
        <v>18001</v>
      </c>
    </row>
    <row r="62" spans="1:7" ht="14.25" hidden="1" customHeight="1">
      <c r="A62" s="2">
        <v>45684</v>
      </c>
      <c r="B62" s="1" t="s">
        <v>31</v>
      </c>
      <c r="C62" s="1">
        <v>115</v>
      </c>
      <c r="D62" s="1">
        <v>281</v>
      </c>
      <c r="E62" s="1">
        <v>357265</v>
      </c>
      <c r="F62" s="1">
        <v>9.23</v>
      </c>
      <c r="G62" s="1">
        <v>25525</v>
      </c>
    </row>
    <row r="63" spans="1:7" ht="14.25" customHeight="1">
      <c r="A63" s="2">
        <v>45684</v>
      </c>
      <c r="B63" s="1" t="s">
        <v>40</v>
      </c>
      <c r="C63" s="1">
        <v>1249</v>
      </c>
      <c r="D63" s="1">
        <v>351</v>
      </c>
      <c r="E63" s="1">
        <v>321307</v>
      </c>
      <c r="F63" s="1">
        <v>6.37</v>
      </c>
      <c r="G63" s="1">
        <v>20560</v>
      </c>
    </row>
    <row r="64" spans="1:7" ht="14.25" hidden="1" customHeight="1">
      <c r="A64" s="2">
        <v>45684</v>
      </c>
      <c r="B64" s="1" t="s">
        <v>14</v>
      </c>
      <c r="C64" s="1">
        <v>1501</v>
      </c>
      <c r="D64" s="1">
        <v>75</v>
      </c>
      <c r="E64" s="1">
        <v>262569</v>
      </c>
      <c r="F64" s="1">
        <v>2.0099999999999998</v>
      </c>
      <c r="G64" s="1">
        <v>19119</v>
      </c>
    </row>
    <row r="65" spans="1:7" ht="14.25" hidden="1" customHeight="1">
      <c r="A65" s="2">
        <v>45684</v>
      </c>
      <c r="B65" s="1" t="s">
        <v>27</v>
      </c>
      <c r="C65" s="1">
        <v>1411</v>
      </c>
      <c r="D65" s="1">
        <v>186</v>
      </c>
      <c r="E65" s="1">
        <v>461669</v>
      </c>
      <c r="F65" s="1">
        <v>3.72</v>
      </c>
      <c r="G65" s="1">
        <v>43999</v>
      </c>
    </row>
    <row r="66" spans="1:7" ht="14.25" hidden="1" customHeight="1">
      <c r="A66" s="2">
        <v>45677</v>
      </c>
      <c r="B66" s="1" t="s">
        <v>31</v>
      </c>
      <c r="C66" s="1">
        <v>1748</v>
      </c>
      <c r="D66" s="1">
        <v>176</v>
      </c>
      <c r="E66" s="1">
        <v>383681</v>
      </c>
      <c r="F66" s="1">
        <v>9.24</v>
      </c>
      <c r="G66" s="1">
        <v>43122</v>
      </c>
    </row>
    <row r="67" spans="1:7" ht="14.25" customHeight="1">
      <c r="A67" s="2">
        <v>45677</v>
      </c>
      <c r="B67" s="1" t="s">
        <v>40</v>
      </c>
      <c r="C67" s="1">
        <v>663</v>
      </c>
      <c r="D67" s="1">
        <v>236</v>
      </c>
      <c r="E67" s="1">
        <v>479490</v>
      </c>
      <c r="F67" s="1">
        <v>4.51</v>
      </c>
      <c r="G67" s="1">
        <v>23853</v>
      </c>
    </row>
    <row r="68" spans="1:7" ht="14.25" hidden="1" customHeight="1">
      <c r="A68" s="2">
        <v>45677</v>
      </c>
      <c r="B68" s="1" t="s">
        <v>14</v>
      </c>
      <c r="C68" s="1">
        <v>1040</v>
      </c>
      <c r="D68" s="1">
        <v>149</v>
      </c>
      <c r="E68" s="1">
        <v>124404</v>
      </c>
      <c r="F68" s="1">
        <v>5.23</v>
      </c>
      <c r="G68" s="1">
        <v>45380</v>
      </c>
    </row>
    <row r="69" spans="1:7" ht="14.25" hidden="1" customHeight="1">
      <c r="A69" s="2">
        <v>45677</v>
      </c>
      <c r="B69" s="1" t="s">
        <v>27</v>
      </c>
      <c r="C69" s="1">
        <v>1166</v>
      </c>
      <c r="D69" s="1">
        <v>442</v>
      </c>
      <c r="E69" s="1">
        <v>336949</v>
      </c>
      <c r="F69" s="1">
        <v>4.68</v>
      </c>
      <c r="G69" s="1">
        <v>7705</v>
      </c>
    </row>
    <row r="70" spans="1:7" ht="14.25" hidden="1" customHeight="1">
      <c r="A70" s="2">
        <v>45670</v>
      </c>
      <c r="B70" s="1" t="s">
        <v>31</v>
      </c>
      <c r="C70" s="1">
        <v>1855</v>
      </c>
      <c r="D70" s="1">
        <v>133</v>
      </c>
      <c r="E70" s="1">
        <v>349413</v>
      </c>
      <c r="F70" s="1">
        <v>3.3</v>
      </c>
      <c r="G70" s="1">
        <v>14548</v>
      </c>
    </row>
    <row r="71" spans="1:7" ht="14.25" customHeight="1">
      <c r="A71" s="2">
        <v>45670</v>
      </c>
      <c r="B71" s="1" t="s">
        <v>40</v>
      </c>
      <c r="C71" s="1">
        <v>651</v>
      </c>
      <c r="D71" s="1">
        <v>353</v>
      </c>
      <c r="E71" s="1">
        <v>224699</v>
      </c>
      <c r="F71" s="1">
        <v>5.61</v>
      </c>
      <c r="G71" s="1">
        <v>45708</v>
      </c>
    </row>
    <row r="72" spans="1:7" ht="14.25" hidden="1" customHeight="1">
      <c r="A72" s="2">
        <v>45670</v>
      </c>
      <c r="B72" s="1" t="s">
        <v>14</v>
      </c>
      <c r="C72" s="1">
        <v>118</v>
      </c>
      <c r="D72" s="1">
        <v>262</v>
      </c>
      <c r="E72" s="1">
        <v>487896</v>
      </c>
      <c r="F72" s="1">
        <v>2.56</v>
      </c>
      <c r="G72" s="1">
        <v>12350</v>
      </c>
    </row>
    <row r="73" spans="1:7" ht="14.25" hidden="1" customHeight="1">
      <c r="A73" s="2">
        <v>45670</v>
      </c>
      <c r="B73" s="1" t="s">
        <v>27</v>
      </c>
      <c r="C73" s="1">
        <v>1331</v>
      </c>
      <c r="D73" s="1">
        <v>430</v>
      </c>
      <c r="E73" s="1">
        <v>14437</v>
      </c>
      <c r="F73" s="1">
        <v>3.29</v>
      </c>
      <c r="G73" s="1">
        <v>40868</v>
      </c>
    </row>
    <row r="74" spans="1:7" ht="14.25" hidden="1" customHeight="1">
      <c r="A74" s="2">
        <v>45663</v>
      </c>
      <c r="B74" s="1" t="s">
        <v>31</v>
      </c>
      <c r="C74" s="1">
        <v>1013</v>
      </c>
      <c r="D74" s="1">
        <v>110</v>
      </c>
      <c r="E74" s="1">
        <v>466382</v>
      </c>
      <c r="F74" s="1">
        <v>5.3</v>
      </c>
      <c r="G74" s="1">
        <v>37132</v>
      </c>
    </row>
    <row r="75" spans="1:7" ht="14.25" customHeight="1">
      <c r="A75" s="2">
        <v>45663</v>
      </c>
      <c r="B75" s="1" t="s">
        <v>40</v>
      </c>
      <c r="C75" s="1">
        <v>816</v>
      </c>
      <c r="D75" s="1">
        <v>196</v>
      </c>
      <c r="E75" s="1">
        <v>95728</v>
      </c>
      <c r="F75" s="1">
        <v>8.1999999999999993</v>
      </c>
      <c r="G75" s="1">
        <v>17951</v>
      </c>
    </row>
    <row r="76" spans="1:7" ht="14.25" hidden="1" customHeight="1">
      <c r="A76" s="2">
        <v>45663</v>
      </c>
      <c r="B76" s="1" t="s">
        <v>14</v>
      </c>
      <c r="C76" s="1">
        <v>1633</v>
      </c>
      <c r="D76" s="1">
        <v>445</v>
      </c>
      <c r="E76" s="1">
        <v>371156</v>
      </c>
      <c r="F76" s="1">
        <v>2.2200000000000002</v>
      </c>
      <c r="G76" s="1">
        <v>2798</v>
      </c>
    </row>
    <row r="77" spans="1:7" ht="14.25" hidden="1" customHeight="1">
      <c r="A77" s="2">
        <v>45663</v>
      </c>
      <c r="B77" s="1" t="s">
        <v>27</v>
      </c>
      <c r="C77" s="1">
        <v>891</v>
      </c>
      <c r="D77" s="1">
        <v>45</v>
      </c>
      <c r="E77" s="1">
        <v>95410</v>
      </c>
      <c r="F77" s="1">
        <v>8.33</v>
      </c>
      <c r="G77" s="1">
        <v>15045</v>
      </c>
    </row>
    <row r="78" spans="1:7" ht="14.25" hidden="1" customHeight="1">
      <c r="A78" s="2">
        <v>45656</v>
      </c>
      <c r="B78" s="1" t="s">
        <v>31</v>
      </c>
      <c r="C78" s="1">
        <v>1814</v>
      </c>
      <c r="D78" s="1">
        <v>49</v>
      </c>
      <c r="E78" s="1">
        <v>140804</v>
      </c>
      <c r="F78" s="1">
        <v>1.76</v>
      </c>
      <c r="G78" s="1">
        <v>4313</v>
      </c>
    </row>
    <row r="79" spans="1:7" ht="14.25" customHeight="1">
      <c r="A79" s="2">
        <v>45656</v>
      </c>
      <c r="B79" s="1" t="s">
        <v>40</v>
      </c>
      <c r="C79" s="1">
        <v>1980</v>
      </c>
      <c r="D79" s="1">
        <v>204</v>
      </c>
      <c r="E79" s="1">
        <v>379431</v>
      </c>
      <c r="F79" s="1">
        <v>3.09</v>
      </c>
      <c r="G79" s="1">
        <v>25140</v>
      </c>
    </row>
    <row r="80" spans="1:7" ht="14.25" hidden="1" customHeight="1">
      <c r="A80" s="2">
        <v>45656</v>
      </c>
      <c r="B80" s="1" t="s">
        <v>14</v>
      </c>
      <c r="C80" s="1">
        <v>1786</v>
      </c>
      <c r="D80" s="1">
        <v>257</v>
      </c>
      <c r="E80" s="1">
        <v>274831</v>
      </c>
      <c r="F80" s="1">
        <v>4.68</v>
      </c>
      <c r="G80" s="1">
        <v>9118</v>
      </c>
    </row>
    <row r="81" spans="1:7" ht="14.25" hidden="1" customHeight="1">
      <c r="A81" s="2">
        <v>45656</v>
      </c>
      <c r="B81" s="1" t="s">
        <v>27</v>
      </c>
      <c r="C81" s="1">
        <v>1495</v>
      </c>
      <c r="D81" s="1">
        <v>35</v>
      </c>
      <c r="E81" s="1">
        <v>136845</v>
      </c>
      <c r="F81" s="1">
        <v>4.4800000000000004</v>
      </c>
      <c r="G81" s="1">
        <v>39931</v>
      </c>
    </row>
    <row r="82" spans="1:7" ht="14.25" hidden="1" customHeight="1">
      <c r="A82" s="2">
        <v>45649</v>
      </c>
      <c r="B82" s="1" t="s">
        <v>31</v>
      </c>
      <c r="C82" s="1">
        <v>1092</v>
      </c>
      <c r="D82" s="1">
        <v>408</v>
      </c>
      <c r="E82" s="1">
        <v>280795</v>
      </c>
      <c r="F82" s="1">
        <v>8.44</v>
      </c>
      <c r="G82" s="1">
        <v>4683</v>
      </c>
    </row>
    <row r="83" spans="1:7" ht="14.25" customHeight="1">
      <c r="A83" s="2">
        <v>45649</v>
      </c>
      <c r="B83" s="1" t="s">
        <v>40</v>
      </c>
      <c r="C83" s="1">
        <v>1155</v>
      </c>
      <c r="D83" s="1">
        <v>425</v>
      </c>
      <c r="E83" s="1">
        <v>93347</v>
      </c>
      <c r="F83" s="1">
        <v>2.02</v>
      </c>
      <c r="G83" s="1">
        <v>47502</v>
      </c>
    </row>
    <row r="84" spans="1:7" ht="14.25" hidden="1" customHeight="1">
      <c r="A84" s="2">
        <v>45649</v>
      </c>
      <c r="B84" s="1" t="s">
        <v>14</v>
      </c>
      <c r="C84" s="1">
        <v>1137</v>
      </c>
      <c r="D84" s="1">
        <v>226</v>
      </c>
      <c r="E84" s="1">
        <v>81119</v>
      </c>
      <c r="F84" s="1">
        <v>7.74</v>
      </c>
      <c r="G84" s="1">
        <v>35359</v>
      </c>
    </row>
    <row r="85" spans="1:7" ht="14.25" hidden="1" customHeight="1">
      <c r="A85" s="2">
        <v>45649</v>
      </c>
      <c r="B85" s="1" t="s">
        <v>27</v>
      </c>
      <c r="C85" s="1">
        <v>1900</v>
      </c>
      <c r="D85" s="1">
        <v>311</v>
      </c>
      <c r="E85" s="1">
        <v>25177</v>
      </c>
      <c r="F85" s="1">
        <v>2.89</v>
      </c>
      <c r="G85" s="1">
        <v>14154</v>
      </c>
    </row>
    <row r="86" spans="1:7" ht="14.25" hidden="1" customHeight="1">
      <c r="A86" s="2">
        <v>45642</v>
      </c>
      <c r="B86" s="1" t="s">
        <v>31</v>
      </c>
      <c r="C86" s="1">
        <v>1502</v>
      </c>
      <c r="D86" s="1">
        <v>70</v>
      </c>
      <c r="E86" s="1">
        <v>465553</v>
      </c>
      <c r="F86" s="1">
        <v>3.32</v>
      </c>
      <c r="G86" s="1">
        <v>20692</v>
      </c>
    </row>
    <row r="87" spans="1:7" ht="14.25" customHeight="1">
      <c r="A87" s="2">
        <v>45642</v>
      </c>
      <c r="B87" s="1" t="s">
        <v>40</v>
      </c>
      <c r="C87" s="1">
        <v>1623</v>
      </c>
      <c r="D87" s="1">
        <v>246</v>
      </c>
      <c r="E87" s="1">
        <v>415815</v>
      </c>
      <c r="F87" s="1">
        <v>8.11</v>
      </c>
      <c r="G87" s="1">
        <v>18656</v>
      </c>
    </row>
    <row r="88" spans="1:7" ht="14.25" hidden="1" customHeight="1">
      <c r="A88" s="2">
        <v>45642</v>
      </c>
      <c r="B88" s="1" t="s">
        <v>14</v>
      </c>
      <c r="C88" s="1">
        <v>1592</v>
      </c>
      <c r="D88" s="1">
        <v>233</v>
      </c>
      <c r="E88" s="1">
        <v>327183</v>
      </c>
      <c r="F88" s="1">
        <v>6.66</v>
      </c>
      <c r="G88" s="1">
        <v>13316</v>
      </c>
    </row>
    <row r="89" spans="1:7" ht="14.25" hidden="1" customHeight="1">
      <c r="A89" s="2">
        <v>45642</v>
      </c>
      <c r="B89" s="1" t="s">
        <v>27</v>
      </c>
      <c r="C89" s="1">
        <v>1004</v>
      </c>
      <c r="D89" s="1">
        <v>128</v>
      </c>
      <c r="E89" s="1">
        <v>488901</v>
      </c>
      <c r="F89" s="1">
        <v>8.09</v>
      </c>
      <c r="G89" s="1">
        <v>49558</v>
      </c>
    </row>
    <row r="90" spans="1:7" ht="14.25" hidden="1" customHeight="1">
      <c r="A90" s="2">
        <v>45635</v>
      </c>
      <c r="B90" s="1" t="s">
        <v>31</v>
      </c>
      <c r="C90" s="1">
        <v>1494</v>
      </c>
      <c r="D90" s="1">
        <v>375</v>
      </c>
      <c r="E90" s="1">
        <v>220616</v>
      </c>
      <c r="F90" s="1">
        <v>1.81</v>
      </c>
      <c r="G90" s="1">
        <v>22724</v>
      </c>
    </row>
    <row r="91" spans="1:7" ht="14.25" customHeight="1">
      <c r="A91" s="2">
        <v>45635</v>
      </c>
      <c r="B91" s="1" t="s">
        <v>40</v>
      </c>
      <c r="C91" s="1">
        <v>1514</v>
      </c>
      <c r="D91" s="1">
        <v>141</v>
      </c>
      <c r="E91" s="1">
        <v>35842</v>
      </c>
      <c r="F91" s="1">
        <v>7.47</v>
      </c>
      <c r="G91" s="1">
        <v>18601</v>
      </c>
    </row>
    <row r="92" spans="1:7" ht="14.25" hidden="1" customHeight="1">
      <c r="A92" s="2">
        <v>45635</v>
      </c>
      <c r="B92" s="1" t="s">
        <v>14</v>
      </c>
      <c r="C92" s="1">
        <v>1937</v>
      </c>
      <c r="D92" s="1">
        <v>210</v>
      </c>
      <c r="E92" s="1">
        <v>20607</v>
      </c>
      <c r="F92" s="1">
        <v>4.2</v>
      </c>
      <c r="G92" s="1">
        <v>20861</v>
      </c>
    </row>
    <row r="93" spans="1:7" ht="14.25" hidden="1" customHeight="1">
      <c r="A93" s="2">
        <v>45635</v>
      </c>
      <c r="B93" s="1" t="s">
        <v>27</v>
      </c>
      <c r="C93" s="1">
        <v>736</v>
      </c>
      <c r="D93" s="1">
        <v>163</v>
      </c>
      <c r="E93" s="1">
        <v>451894</v>
      </c>
      <c r="F93" s="1">
        <v>5.43</v>
      </c>
      <c r="G93" s="1">
        <v>46625</v>
      </c>
    </row>
    <row r="94" spans="1:7" ht="14.25" hidden="1" customHeight="1">
      <c r="A94" s="2">
        <v>45628</v>
      </c>
      <c r="B94" s="1" t="s">
        <v>31</v>
      </c>
      <c r="C94" s="1">
        <v>1696</v>
      </c>
      <c r="D94" s="1">
        <v>71</v>
      </c>
      <c r="E94" s="1">
        <v>421957</v>
      </c>
      <c r="F94" s="1">
        <v>3.79</v>
      </c>
      <c r="G94" s="1">
        <v>36103</v>
      </c>
    </row>
    <row r="95" spans="1:7" ht="14.25" customHeight="1">
      <c r="A95" s="2">
        <v>45628</v>
      </c>
      <c r="B95" s="1" t="s">
        <v>40</v>
      </c>
      <c r="C95" s="1">
        <v>1902</v>
      </c>
      <c r="D95" s="1">
        <v>196</v>
      </c>
      <c r="E95" s="1">
        <v>470269</v>
      </c>
      <c r="F95" s="1">
        <v>4.79</v>
      </c>
      <c r="G95" s="1">
        <v>26103</v>
      </c>
    </row>
    <row r="96" spans="1:7" ht="14.25" hidden="1" customHeight="1">
      <c r="A96" s="2">
        <v>45628</v>
      </c>
      <c r="B96" s="1" t="s">
        <v>14</v>
      </c>
      <c r="C96" s="1">
        <v>1441</v>
      </c>
      <c r="D96" s="1">
        <v>268</v>
      </c>
      <c r="E96" s="1">
        <v>309904</v>
      </c>
      <c r="F96" s="1">
        <v>6.37</v>
      </c>
      <c r="G96" s="1">
        <v>3455</v>
      </c>
    </row>
    <row r="97" spans="1:7" ht="14.25" hidden="1" customHeight="1">
      <c r="A97" s="2">
        <v>45628</v>
      </c>
      <c r="B97" s="1" t="s">
        <v>27</v>
      </c>
      <c r="C97" s="1">
        <v>452</v>
      </c>
      <c r="D97" s="1">
        <v>161</v>
      </c>
      <c r="E97" s="1">
        <v>221274</v>
      </c>
      <c r="F97" s="1">
        <v>2.65</v>
      </c>
      <c r="G97" s="1">
        <v>40888</v>
      </c>
    </row>
    <row r="98" spans="1:7" ht="14.25" hidden="1" customHeight="1">
      <c r="A98" s="2">
        <v>45621</v>
      </c>
      <c r="B98" s="1" t="s">
        <v>31</v>
      </c>
      <c r="C98" s="1">
        <v>1854</v>
      </c>
      <c r="D98" s="1">
        <v>161</v>
      </c>
      <c r="E98" s="1">
        <v>282466</v>
      </c>
      <c r="F98" s="1">
        <v>5.17</v>
      </c>
      <c r="G98" s="1">
        <v>1810</v>
      </c>
    </row>
    <row r="99" spans="1:7" ht="14.25" customHeight="1">
      <c r="A99" s="2">
        <v>45621</v>
      </c>
      <c r="B99" s="1" t="s">
        <v>40</v>
      </c>
      <c r="C99" s="1">
        <v>1710</v>
      </c>
      <c r="D99" s="1">
        <v>378</v>
      </c>
      <c r="E99" s="1">
        <v>336661</v>
      </c>
      <c r="F99" s="1">
        <v>6.2</v>
      </c>
      <c r="G99" s="1">
        <v>28498</v>
      </c>
    </row>
    <row r="100" spans="1:7" ht="14.25" hidden="1" customHeight="1">
      <c r="A100" s="2">
        <v>45621</v>
      </c>
      <c r="B100" s="1" t="s">
        <v>14</v>
      </c>
      <c r="C100" s="1">
        <v>330</v>
      </c>
      <c r="D100" s="1">
        <v>232</v>
      </c>
      <c r="E100" s="1">
        <v>88455</v>
      </c>
      <c r="F100" s="1">
        <v>2.69</v>
      </c>
      <c r="G100" s="1">
        <v>39530</v>
      </c>
    </row>
    <row r="101" spans="1:7" ht="14.25" hidden="1" customHeight="1">
      <c r="A101" s="2">
        <v>45621</v>
      </c>
      <c r="B101" s="1" t="s">
        <v>27</v>
      </c>
      <c r="C101" s="1">
        <v>1293</v>
      </c>
      <c r="D101" s="1">
        <v>408</v>
      </c>
      <c r="E101" s="1">
        <v>62535</v>
      </c>
      <c r="F101" s="1">
        <v>8.9</v>
      </c>
      <c r="G101" s="1">
        <v>37876</v>
      </c>
    </row>
    <row r="102" spans="1:7" ht="14.25" hidden="1" customHeight="1">
      <c r="A102" s="2">
        <v>45614</v>
      </c>
      <c r="B102" s="1" t="s">
        <v>31</v>
      </c>
      <c r="C102" s="1">
        <v>187</v>
      </c>
      <c r="D102" s="1">
        <v>236</v>
      </c>
      <c r="E102" s="1">
        <v>51087</v>
      </c>
      <c r="F102" s="1">
        <v>9.41</v>
      </c>
      <c r="G102" s="1">
        <v>29533</v>
      </c>
    </row>
    <row r="103" spans="1:7" ht="14.25" customHeight="1">
      <c r="A103" s="2">
        <v>45614</v>
      </c>
      <c r="B103" s="1" t="s">
        <v>40</v>
      </c>
      <c r="C103" s="1">
        <v>513</v>
      </c>
      <c r="D103" s="1">
        <v>441</v>
      </c>
      <c r="E103" s="1">
        <v>338847</v>
      </c>
      <c r="F103" s="1">
        <v>2.68</v>
      </c>
      <c r="G103" s="1">
        <v>39997</v>
      </c>
    </row>
    <row r="104" spans="1:7" ht="14.25" hidden="1" customHeight="1">
      <c r="A104" s="2">
        <v>45614</v>
      </c>
      <c r="B104" s="1" t="s">
        <v>14</v>
      </c>
      <c r="C104" s="1">
        <v>628</v>
      </c>
      <c r="D104" s="1">
        <v>183</v>
      </c>
      <c r="E104" s="1">
        <v>487523</v>
      </c>
      <c r="F104" s="1">
        <v>7.32</v>
      </c>
      <c r="G104" s="1">
        <v>5391</v>
      </c>
    </row>
    <row r="105" spans="1:7" ht="14.25" hidden="1" customHeight="1">
      <c r="A105" s="2">
        <v>45614</v>
      </c>
      <c r="B105" s="1" t="s">
        <v>27</v>
      </c>
      <c r="C105" s="1">
        <v>278</v>
      </c>
      <c r="D105" s="1">
        <v>218</v>
      </c>
      <c r="E105" s="1">
        <v>301695</v>
      </c>
      <c r="F105" s="1">
        <v>4.68</v>
      </c>
      <c r="G105" s="1">
        <v>22373</v>
      </c>
    </row>
    <row r="106" spans="1:7" ht="14.25" hidden="1" customHeight="1">
      <c r="A106" s="2">
        <v>45607</v>
      </c>
      <c r="B106" s="1" t="s">
        <v>31</v>
      </c>
      <c r="C106" s="1">
        <v>1075</v>
      </c>
      <c r="D106" s="1">
        <v>173</v>
      </c>
      <c r="E106" s="1">
        <v>51395</v>
      </c>
      <c r="F106" s="1">
        <v>4.66</v>
      </c>
      <c r="G106" s="1">
        <v>47812</v>
      </c>
    </row>
    <row r="107" spans="1:7" ht="14.25" customHeight="1">
      <c r="A107" s="2">
        <v>45607</v>
      </c>
      <c r="B107" s="1" t="s">
        <v>40</v>
      </c>
      <c r="C107" s="1">
        <v>171</v>
      </c>
      <c r="D107" s="1">
        <v>277</v>
      </c>
      <c r="E107" s="1">
        <v>309483</v>
      </c>
      <c r="F107" s="1">
        <v>8.6999999999999993</v>
      </c>
      <c r="G107" s="1">
        <v>38452</v>
      </c>
    </row>
    <row r="108" spans="1:7" ht="14.25" hidden="1" customHeight="1">
      <c r="A108" s="2">
        <v>45607</v>
      </c>
      <c r="B108" s="1" t="s">
        <v>14</v>
      </c>
      <c r="C108" s="1">
        <v>1487</v>
      </c>
      <c r="D108" s="1">
        <v>337</v>
      </c>
      <c r="E108" s="1">
        <v>87305</v>
      </c>
      <c r="F108" s="1">
        <v>2.46</v>
      </c>
      <c r="G108" s="1">
        <v>30428</v>
      </c>
    </row>
    <row r="109" spans="1:7" ht="14.25" hidden="1" customHeight="1">
      <c r="A109" s="2">
        <v>45607</v>
      </c>
      <c r="B109" s="1" t="s">
        <v>27</v>
      </c>
      <c r="C109" s="1">
        <v>454</v>
      </c>
      <c r="D109" s="1">
        <v>105</v>
      </c>
      <c r="E109" s="1">
        <v>121091</v>
      </c>
      <c r="F109" s="1">
        <v>7.97</v>
      </c>
      <c r="G109" s="1">
        <v>9269</v>
      </c>
    </row>
    <row r="110" spans="1:7" ht="14.25" hidden="1" customHeight="1">
      <c r="A110" s="2">
        <v>45600</v>
      </c>
      <c r="B110" s="1" t="s">
        <v>31</v>
      </c>
      <c r="C110" s="1">
        <v>1466</v>
      </c>
      <c r="D110" s="1">
        <v>69</v>
      </c>
      <c r="E110" s="1">
        <v>54935</v>
      </c>
      <c r="F110" s="1">
        <v>6.85</v>
      </c>
      <c r="G110" s="1">
        <v>36484</v>
      </c>
    </row>
    <row r="111" spans="1:7" ht="14.25" customHeight="1">
      <c r="A111" s="2">
        <v>45600</v>
      </c>
      <c r="B111" s="1" t="s">
        <v>40</v>
      </c>
      <c r="C111" s="1">
        <v>947</v>
      </c>
      <c r="D111" s="1">
        <v>407</v>
      </c>
      <c r="E111" s="1">
        <v>319186</v>
      </c>
      <c r="F111" s="1">
        <v>3.32</v>
      </c>
      <c r="G111" s="1">
        <v>4996</v>
      </c>
    </row>
    <row r="112" spans="1:7" ht="14.25" hidden="1" customHeight="1">
      <c r="A112" s="2">
        <v>45600</v>
      </c>
      <c r="B112" s="1" t="s">
        <v>14</v>
      </c>
      <c r="C112" s="1">
        <v>1821</v>
      </c>
      <c r="D112" s="1">
        <v>218</v>
      </c>
      <c r="E112" s="1">
        <v>439080</v>
      </c>
      <c r="F112" s="1">
        <v>5.68</v>
      </c>
      <c r="G112" s="1">
        <v>36095</v>
      </c>
    </row>
    <row r="113" spans="1:7" ht="14.25" hidden="1" customHeight="1">
      <c r="A113" s="2">
        <v>45600</v>
      </c>
      <c r="B113" s="1" t="s">
        <v>27</v>
      </c>
      <c r="C113" s="1">
        <v>1507</v>
      </c>
      <c r="D113" s="1">
        <v>463</v>
      </c>
      <c r="E113" s="1">
        <v>258944</v>
      </c>
      <c r="F113" s="1">
        <v>6.08</v>
      </c>
      <c r="G113" s="1">
        <v>16443</v>
      </c>
    </row>
    <row r="114" spans="1:7" ht="14.25" hidden="1" customHeight="1">
      <c r="A114" s="2">
        <v>45593</v>
      </c>
      <c r="B114" s="1" t="s">
        <v>31</v>
      </c>
      <c r="C114" s="1">
        <v>642</v>
      </c>
      <c r="D114" s="1">
        <v>66</v>
      </c>
      <c r="E114" s="1">
        <v>346522</v>
      </c>
      <c r="F114" s="1">
        <v>5.85</v>
      </c>
      <c r="G114" s="1">
        <v>13116</v>
      </c>
    </row>
    <row r="115" spans="1:7" ht="14.25" customHeight="1">
      <c r="A115" s="2">
        <v>45593</v>
      </c>
      <c r="B115" s="1" t="s">
        <v>40</v>
      </c>
      <c r="C115" s="1">
        <v>859</v>
      </c>
      <c r="D115" s="1">
        <v>473</v>
      </c>
      <c r="E115" s="1">
        <v>209987</v>
      </c>
      <c r="F115" s="1">
        <v>4.46</v>
      </c>
      <c r="G115" s="1">
        <v>30214</v>
      </c>
    </row>
    <row r="116" spans="1:7" ht="14.25" hidden="1" customHeight="1">
      <c r="A116" s="2">
        <v>45593</v>
      </c>
      <c r="B116" s="1" t="s">
        <v>14</v>
      </c>
      <c r="C116" s="1">
        <v>191</v>
      </c>
      <c r="D116" s="1">
        <v>154</v>
      </c>
      <c r="E116" s="1">
        <v>240550</v>
      </c>
      <c r="F116" s="1">
        <v>5.22</v>
      </c>
      <c r="G116" s="1">
        <v>15827</v>
      </c>
    </row>
    <row r="117" spans="1:7" ht="14.25" hidden="1" customHeight="1">
      <c r="A117" s="2">
        <v>45593</v>
      </c>
      <c r="B117" s="1" t="s">
        <v>27</v>
      </c>
      <c r="C117" s="1">
        <v>1814</v>
      </c>
      <c r="D117" s="1">
        <v>157</v>
      </c>
      <c r="E117" s="1">
        <v>305827</v>
      </c>
      <c r="F117" s="1">
        <v>1.99</v>
      </c>
      <c r="G117" s="1">
        <v>46643</v>
      </c>
    </row>
    <row r="118" spans="1:7" ht="14.25" hidden="1" customHeight="1">
      <c r="A118" s="2">
        <v>45586</v>
      </c>
      <c r="B118" s="1" t="s">
        <v>31</v>
      </c>
      <c r="C118" s="1">
        <v>703</v>
      </c>
      <c r="D118" s="1">
        <v>441</v>
      </c>
      <c r="E118" s="1">
        <v>357089</v>
      </c>
      <c r="F118" s="1">
        <v>6.5</v>
      </c>
      <c r="G118" s="1">
        <v>32478</v>
      </c>
    </row>
    <row r="119" spans="1:7" ht="14.25" customHeight="1">
      <c r="A119" s="2">
        <v>45586</v>
      </c>
      <c r="B119" s="1" t="s">
        <v>40</v>
      </c>
      <c r="C119" s="1">
        <v>508</v>
      </c>
      <c r="D119" s="1">
        <v>69</v>
      </c>
      <c r="E119" s="1">
        <v>23492</v>
      </c>
      <c r="F119" s="1">
        <v>3.16</v>
      </c>
      <c r="G119" s="1">
        <v>42824</v>
      </c>
    </row>
    <row r="120" spans="1:7" ht="14.25" hidden="1" customHeight="1">
      <c r="A120" s="2">
        <v>45586</v>
      </c>
      <c r="B120" s="1" t="s">
        <v>14</v>
      </c>
      <c r="C120" s="1">
        <v>697</v>
      </c>
      <c r="D120" s="1">
        <v>61</v>
      </c>
      <c r="E120" s="1">
        <v>258287</v>
      </c>
      <c r="F120" s="1">
        <v>8.25</v>
      </c>
      <c r="G120" s="1">
        <v>21208</v>
      </c>
    </row>
    <row r="121" spans="1:7" ht="14.25" hidden="1" customHeight="1">
      <c r="A121" s="2">
        <v>45586</v>
      </c>
      <c r="B121" s="1" t="s">
        <v>27</v>
      </c>
      <c r="C121" s="1">
        <v>1707</v>
      </c>
      <c r="D121" s="1">
        <v>223</v>
      </c>
      <c r="E121" s="1">
        <v>256910</v>
      </c>
      <c r="F121" s="1">
        <v>5.41</v>
      </c>
      <c r="G121" s="1">
        <v>44321</v>
      </c>
    </row>
    <row r="122" spans="1:7" ht="14.25" hidden="1" customHeight="1">
      <c r="A122" s="2">
        <v>45579</v>
      </c>
      <c r="B122" s="1" t="s">
        <v>31</v>
      </c>
      <c r="C122" s="1">
        <v>1527</v>
      </c>
      <c r="D122" s="1">
        <v>303</v>
      </c>
      <c r="E122" s="1">
        <v>388555</v>
      </c>
      <c r="F122" s="1">
        <v>8.9</v>
      </c>
      <c r="G122" s="1">
        <v>36397</v>
      </c>
    </row>
    <row r="123" spans="1:7" ht="14.25" customHeight="1">
      <c r="A123" s="2">
        <v>45579</v>
      </c>
      <c r="B123" s="1" t="s">
        <v>40</v>
      </c>
      <c r="C123" s="1">
        <v>643</v>
      </c>
      <c r="D123" s="1">
        <v>358</v>
      </c>
      <c r="E123" s="1">
        <v>157599</v>
      </c>
      <c r="F123" s="1">
        <v>3.88</v>
      </c>
      <c r="G123" s="1">
        <v>7285</v>
      </c>
    </row>
    <row r="124" spans="1:7" ht="14.25" hidden="1" customHeight="1">
      <c r="A124" s="2">
        <v>45579</v>
      </c>
      <c r="B124" s="1" t="s">
        <v>14</v>
      </c>
      <c r="C124" s="1">
        <v>201</v>
      </c>
      <c r="D124" s="1">
        <v>221</v>
      </c>
      <c r="E124" s="1">
        <v>309772</v>
      </c>
      <c r="F124" s="1">
        <v>5.9</v>
      </c>
      <c r="G124" s="1">
        <v>33174</v>
      </c>
    </row>
    <row r="125" spans="1:7" ht="14.25" hidden="1" customHeight="1">
      <c r="A125" s="2">
        <v>45579</v>
      </c>
      <c r="B125" s="1" t="s">
        <v>27</v>
      </c>
      <c r="C125" s="1">
        <v>414</v>
      </c>
      <c r="D125" s="1">
        <v>47</v>
      </c>
      <c r="E125" s="1">
        <v>199178</v>
      </c>
      <c r="F125" s="1">
        <v>1.53</v>
      </c>
      <c r="G125" s="1">
        <v>6742</v>
      </c>
    </row>
    <row r="126" spans="1:7" ht="14.25" hidden="1" customHeight="1">
      <c r="A126" s="2">
        <v>45572</v>
      </c>
      <c r="B126" s="1" t="s">
        <v>31</v>
      </c>
      <c r="C126" s="1">
        <v>1939</v>
      </c>
      <c r="D126" s="1">
        <v>67</v>
      </c>
      <c r="E126" s="1">
        <v>187183</v>
      </c>
      <c r="F126" s="1">
        <v>6.25</v>
      </c>
      <c r="G126" s="1">
        <v>41215</v>
      </c>
    </row>
    <row r="127" spans="1:7" ht="14.25" customHeight="1">
      <c r="A127" s="2">
        <v>45572</v>
      </c>
      <c r="B127" s="1" t="s">
        <v>40</v>
      </c>
      <c r="C127" s="1">
        <v>1929</v>
      </c>
      <c r="D127" s="1">
        <v>267</v>
      </c>
      <c r="E127" s="1">
        <v>379363</v>
      </c>
      <c r="F127" s="1">
        <v>1.75</v>
      </c>
      <c r="G127" s="1">
        <v>43836</v>
      </c>
    </row>
    <row r="128" spans="1:7" ht="14.25" hidden="1" customHeight="1">
      <c r="A128" s="2">
        <v>45572</v>
      </c>
      <c r="B128" s="1" t="s">
        <v>14</v>
      </c>
      <c r="C128" s="1">
        <v>437</v>
      </c>
      <c r="D128" s="1">
        <v>330</v>
      </c>
      <c r="E128" s="1">
        <v>476486</v>
      </c>
      <c r="F128" s="1">
        <v>4.97</v>
      </c>
      <c r="G128" s="1">
        <v>4509</v>
      </c>
    </row>
    <row r="129" spans="1:7" ht="14.25" hidden="1" customHeight="1">
      <c r="A129" s="2">
        <v>45572</v>
      </c>
      <c r="B129" s="1" t="s">
        <v>27</v>
      </c>
      <c r="C129" s="1">
        <v>307</v>
      </c>
      <c r="D129" s="1">
        <v>189</v>
      </c>
      <c r="E129" s="1">
        <v>117767</v>
      </c>
      <c r="F129" s="1">
        <v>9.3000000000000007</v>
      </c>
      <c r="G129" s="1">
        <v>27822</v>
      </c>
    </row>
    <row r="130" spans="1:7" ht="14.25" hidden="1" customHeight="1">
      <c r="A130" s="2">
        <v>45565</v>
      </c>
      <c r="B130" s="1" t="s">
        <v>31</v>
      </c>
      <c r="C130" s="1">
        <v>1433</v>
      </c>
      <c r="D130" s="1">
        <v>408</v>
      </c>
      <c r="E130" s="1">
        <v>370269</v>
      </c>
      <c r="F130" s="1">
        <v>3.3</v>
      </c>
      <c r="G130" s="1">
        <v>30575</v>
      </c>
    </row>
    <row r="131" spans="1:7" ht="14.25" customHeight="1">
      <c r="A131" s="2">
        <v>45565</v>
      </c>
      <c r="B131" s="1" t="s">
        <v>40</v>
      </c>
      <c r="C131" s="1">
        <v>250</v>
      </c>
      <c r="D131" s="1">
        <v>429</v>
      </c>
      <c r="E131" s="1">
        <v>453423</v>
      </c>
      <c r="F131" s="1">
        <v>1.77</v>
      </c>
      <c r="G131" s="1">
        <v>2315</v>
      </c>
    </row>
    <row r="132" spans="1:7" ht="14.25" hidden="1" customHeight="1">
      <c r="A132" s="2">
        <v>45565</v>
      </c>
      <c r="B132" s="1" t="s">
        <v>14</v>
      </c>
      <c r="C132" s="1">
        <v>752</v>
      </c>
      <c r="D132" s="1">
        <v>153</v>
      </c>
      <c r="E132" s="1">
        <v>64906</v>
      </c>
      <c r="F132" s="1">
        <v>2.09</v>
      </c>
      <c r="G132" s="1">
        <v>12148</v>
      </c>
    </row>
    <row r="133" spans="1:7" ht="14.25" hidden="1" customHeight="1">
      <c r="A133" s="2">
        <v>45565</v>
      </c>
      <c r="B133" s="1" t="s">
        <v>27</v>
      </c>
      <c r="C133" s="1">
        <v>1918</v>
      </c>
      <c r="D133" s="1">
        <v>212</v>
      </c>
      <c r="E133" s="1">
        <v>94360</v>
      </c>
      <c r="F133" s="1">
        <v>7.36</v>
      </c>
      <c r="G133" s="1">
        <v>36851</v>
      </c>
    </row>
    <row r="134" spans="1:7" ht="14.25" hidden="1" customHeight="1">
      <c r="A134" s="2">
        <v>45558</v>
      </c>
      <c r="B134" s="1" t="s">
        <v>31</v>
      </c>
      <c r="C134" s="1">
        <v>817</v>
      </c>
      <c r="D134" s="1">
        <v>151</v>
      </c>
      <c r="E134" s="1">
        <v>422625</v>
      </c>
      <c r="F134" s="1">
        <v>2.36</v>
      </c>
      <c r="G134" s="1">
        <v>1083</v>
      </c>
    </row>
    <row r="135" spans="1:7" ht="14.25" customHeight="1">
      <c r="A135" s="2">
        <v>45558</v>
      </c>
      <c r="B135" s="1" t="s">
        <v>40</v>
      </c>
      <c r="C135" s="1">
        <v>198</v>
      </c>
      <c r="D135" s="1">
        <v>217</v>
      </c>
      <c r="E135" s="1">
        <v>239753</v>
      </c>
      <c r="F135" s="1">
        <v>7.36</v>
      </c>
      <c r="G135" s="1">
        <v>11901</v>
      </c>
    </row>
    <row r="136" spans="1:7" ht="14.25" hidden="1" customHeight="1">
      <c r="A136" s="2">
        <v>45558</v>
      </c>
      <c r="B136" s="1" t="s">
        <v>14</v>
      </c>
      <c r="C136" s="1">
        <v>1911</v>
      </c>
      <c r="D136" s="1">
        <v>231</v>
      </c>
      <c r="E136" s="1">
        <v>268516</v>
      </c>
      <c r="F136" s="1">
        <v>8.5500000000000007</v>
      </c>
      <c r="G136" s="1">
        <v>24018</v>
      </c>
    </row>
    <row r="137" spans="1:7" ht="14.25" hidden="1" customHeight="1">
      <c r="A137" s="2">
        <v>45558</v>
      </c>
      <c r="B137" s="1" t="s">
        <v>27</v>
      </c>
      <c r="C137" s="1">
        <v>1218</v>
      </c>
      <c r="D137" s="1">
        <v>212</v>
      </c>
      <c r="E137" s="1">
        <v>63177</v>
      </c>
      <c r="F137" s="1">
        <v>8.1300000000000008</v>
      </c>
      <c r="G137" s="1">
        <v>38883</v>
      </c>
    </row>
    <row r="138" spans="1:7" ht="14.25" hidden="1" customHeight="1">
      <c r="A138" s="2">
        <v>45551</v>
      </c>
      <c r="B138" s="1" t="s">
        <v>31</v>
      </c>
      <c r="C138" s="1">
        <v>778</v>
      </c>
      <c r="D138" s="1">
        <v>401</v>
      </c>
      <c r="E138" s="1">
        <v>50793</v>
      </c>
      <c r="F138" s="1">
        <v>3.4</v>
      </c>
      <c r="G138" s="1">
        <v>21939</v>
      </c>
    </row>
    <row r="139" spans="1:7" ht="14.25" customHeight="1">
      <c r="A139" s="2">
        <v>45551</v>
      </c>
      <c r="B139" s="1" t="s">
        <v>40</v>
      </c>
      <c r="C139" s="1">
        <v>443</v>
      </c>
      <c r="D139" s="1">
        <v>345</v>
      </c>
      <c r="E139" s="1">
        <v>474162</v>
      </c>
      <c r="F139" s="1">
        <v>9.1999999999999993</v>
      </c>
      <c r="G139" s="1">
        <v>47462</v>
      </c>
    </row>
    <row r="140" spans="1:7" ht="14.25" hidden="1" customHeight="1">
      <c r="A140" s="2">
        <v>45551</v>
      </c>
      <c r="B140" s="1" t="s">
        <v>14</v>
      </c>
      <c r="C140" s="1">
        <v>1472</v>
      </c>
      <c r="D140" s="1">
        <v>347</v>
      </c>
      <c r="E140" s="1">
        <v>392355</v>
      </c>
      <c r="F140" s="1">
        <v>8.59</v>
      </c>
      <c r="G140" s="1">
        <v>30270</v>
      </c>
    </row>
    <row r="141" spans="1:7" ht="14.25" hidden="1" customHeight="1">
      <c r="A141" s="2">
        <v>45551</v>
      </c>
      <c r="B141" s="1" t="s">
        <v>27</v>
      </c>
      <c r="C141" s="1">
        <v>123</v>
      </c>
      <c r="D141" s="1">
        <v>155</v>
      </c>
      <c r="E141" s="1">
        <v>119934</v>
      </c>
      <c r="F141" s="1">
        <v>3.5</v>
      </c>
      <c r="G141" s="1">
        <v>5442</v>
      </c>
    </row>
    <row r="142" spans="1:7" ht="14.25" hidden="1" customHeight="1">
      <c r="A142" s="2">
        <v>45544</v>
      </c>
      <c r="B142" s="1" t="s">
        <v>31</v>
      </c>
      <c r="C142" s="1">
        <v>1592</v>
      </c>
      <c r="D142" s="1">
        <v>20</v>
      </c>
      <c r="E142" s="1">
        <v>378054</v>
      </c>
      <c r="F142" s="1">
        <v>9.09</v>
      </c>
      <c r="G142" s="1">
        <v>26663</v>
      </c>
    </row>
    <row r="143" spans="1:7" ht="14.25" customHeight="1">
      <c r="A143" s="2">
        <v>45544</v>
      </c>
      <c r="B143" s="1" t="s">
        <v>40</v>
      </c>
      <c r="C143" s="1">
        <v>1842</v>
      </c>
      <c r="D143" s="1">
        <v>414</v>
      </c>
      <c r="E143" s="1">
        <v>307524</v>
      </c>
      <c r="F143" s="1">
        <v>1.76</v>
      </c>
      <c r="G143" s="1">
        <v>40478</v>
      </c>
    </row>
    <row r="144" spans="1:7" ht="14.25" hidden="1" customHeight="1">
      <c r="A144" s="2">
        <v>45544</v>
      </c>
      <c r="B144" s="1" t="s">
        <v>14</v>
      </c>
      <c r="C144" s="1">
        <v>751</v>
      </c>
      <c r="D144" s="1">
        <v>491</v>
      </c>
      <c r="E144" s="1">
        <v>434047</v>
      </c>
      <c r="F144" s="1">
        <v>9.24</v>
      </c>
      <c r="G144" s="1">
        <v>15476</v>
      </c>
    </row>
    <row r="145" spans="1:7" ht="14.25" hidden="1" customHeight="1">
      <c r="A145" s="2">
        <v>45544</v>
      </c>
      <c r="B145" s="1" t="s">
        <v>27</v>
      </c>
      <c r="C145" s="1">
        <v>1409</v>
      </c>
      <c r="D145" s="1">
        <v>309</v>
      </c>
      <c r="E145" s="1">
        <v>64583</v>
      </c>
      <c r="F145" s="1">
        <v>8.99</v>
      </c>
      <c r="G145" s="1">
        <v>10217</v>
      </c>
    </row>
    <row r="146" spans="1:7" ht="14.25" hidden="1" customHeight="1">
      <c r="A146" s="2">
        <v>45537</v>
      </c>
      <c r="B146" s="1" t="s">
        <v>31</v>
      </c>
      <c r="C146" s="1">
        <v>1429</v>
      </c>
      <c r="D146" s="1">
        <v>182</v>
      </c>
      <c r="E146" s="1">
        <v>101332</v>
      </c>
      <c r="F146" s="1">
        <v>7.16</v>
      </c>
      <c r="G146" s="1">
        <v>37829</v>
      </c>
    </row>
    <row r="147" spans="1:7" ht="14.25" customHeight="1">
      <c r="A147" s="2">
        <v>45537</v>
      </c>
      <c r="B147" s="1" t="s">
        <v>40</v>
      </c>
      <c r="C147" s="1">
        <v>1520</v>
      </c>
      <c r="D147" s="1">
        <v>475</v>
      </c>
      <c r="E147" s="1">
        <v>496982</v>
      </c>
      <c r="F147" s="1">
        <v>6.41</v>
      </c>
      <c r="G147" s="1">
        <v>24384</v>
      </c>
    </row>
    <row r="148" spans="1:7" ht="14.25" hidden="1" customHeight="1">
      <c r="A148" s="2">
        <v>45537</v>
      </c>
      <c r="B148" s="1" t="s">
        <v>14</v>
      </c>
      <c r="C148" s="1">
        <v>557</v>
      </c>
      <c r="D148" s="1">
        <v>360</v>
      </c>
      <c r="E148" s="1">
        <v>318779</v>
      </c>
      <c r="F148" s="1">
        <v>8.02</v>
      </c>
      <c r="G148" s="1">
        <v>25797</v>
      </c>
    </row>
    <row r="149" spans="1:7" ht="14.25" hidden="1" customHeight="1">
      <c r="A149" s="2">
        <v>45537</v>
      </c>
      <c r="B149" s="1" t="s">
        <v>27</v>
      </c>
      <c r="C149" s="1">
        <v>728</v>
      </c>
      <c r="D149" s="1">
        <v>395</v>
      </c>
      <c r="E149" s="1">
        <v>370971</v>
      </c>
      <c r="F149" s="1">
        <v>3.86</v>
      </c>
      <c r="G149" s="1">
        <v>12646</v>
      </c>
    </row>
    <row r="150" spans="1:7" ht="14.25" hidden="1" customHeight="1">
      <c r="A150" s="2">
        <v>45530</v>
      </c>
      <c r="B150" s="1" t="s">
        <v>31</v>
      </c>
      <c r="C150" s="1">
        <v>1685</v>
      </c>
      <c r="D150" s="1">
        <v>76</v>
      </c>
      <c r="E150" s="1">
        <v>453799</v>
      </c>
      <c r="F150" s="1">
        <v>5.71</v>
      </c>
      <c r="G150" s="1">
        <v>24913</v>
      </c>
    </row>
    <row r="151" spans="1:7" ht="14.25" customHeight="1">
      <c r="A151" s="2">
        <v>45530</v>
      </c>
      <c r="B151" s="1" t="s">
        <v>40</v>
      </c>
      <c r="C151" s="1">
        <v>248</v>
      </c>
      <c r="D151" s="1">
        <v>211</v>
      </c>
      <c r="E151" s="1">
        <v>379380</v>
      </c>
      <c r="F151" s="1">
        <v>9.0399999999999991</v>
      </c>
      <c r="G151" s="1">
        <v>26925</v>
      </c>
    </row>
    <row r="152" spans="1:7" ht="14.25" hidden="1" customHeight="1">
      <c r="A152" s="2">
        <v>45530</v>
      </c>
      <c r="B152" s="1" t="s">
        <v>14</v>
      </c>
      <c r="C152" s="1">
        <v>1300</v>
      </c>
      <c r="D152" s="1">
        <v>71</v>
      </c>
      <c r="E152" s="1">
        <v>186454</v>
      </c>
      <c r="F152" s="1">
        <v>3.91</v>
      </c>
      <c r="G152" s="1">
        <v>9942</v>
      </c>
    </row>
    <row r="153" spans="1:7" ht="14.25" hidden="1" customHeight="1">
      <c r="A153" s="2">
        <v>45530</v>
      </c>
      <c r="B153" s="1" t="s">
        <v>27</v>
      </c>
      <c r="C153" s="1">
        <v>422</v>
      </c>
      <c r="D153" s="1">
        <v>394</v>
      </c>
      <c r="E153" s="1">
        <v>239044</v>
      </c>
      <c r="F153" s="1">
        <v>7.83</v>
      </c>
      <c r="G153" s="1">
        <v>32929</v>
      </c>
    </row>
    <row r="154" spans="1:7" ht="14.25" hidden="1" customHeight="1">
      <c r="A154" s="2">
        <v>45523</v>
      </c>
      <c r="B154" s="1" t="s">
        <v>31</v>
      </c>
      <c r="C154" s="1">
        <v>215</v>
      </c>
      <c r="D154" s="1">
        <v>139</v>
      </c>
      <c r="E154" s="1">
        <v>325444</v>
      </c>
      <c r="F154" s="1">
        <v>3.25</v>
      </c>
      <c r="G154" s="1">
        <v>35501</v>
      </c>
    </row>
    <row r="155" spans="1:7" ht="14.25" customHeight="1">
      <c r="A155" s="2">
        <v>45523</v>
      </c>
      <c r="B155" s="1" t="s">
        <v>40</v>
      </c>
      <c r="C155" s="1">
        <v>1078</v>
      </c>
      <c r="D155" s="1">
        <v>20</v>
      </c>
      <c r="E155" s="1">
        <v>183924</v>
      </c>
      <c r="F155" s="1">
        <v>8.84</v>
      </c>
      <c r="G155" s="1">
        <v>14203</v>
      </c>
    </row>
    <row r="156" spans="1:7" ht="14.25" hidden="1" customHeight="1">
      <c r="A156" s="2">
        <v>45523</v>
      </c>
      <c r="B156" s="1" t="s">
        <v>14</v>
      </c>
      <c r="C156" s="1">
        <v>1751</v>
      </c>
      <c r="D156" s="1">
        <v>86</v>
      </c>
      <c r="E156" s="1">
        <v>188655</v>
      </c>
      <c r="F156" s="1">
        <v>7.24</v>
      </c>
      <c r="G156" s="1">
        <v>22206</v>
      </c>
    </row>
    <row r="157" spans="1:7" ht="14.25" hidden="1" customHeight="1">
      <c r="A157" s="2">
        <v>45523</v>
      </c>
      <c r="B157" s="1" t="s">
        <v>27</v>
      </c>
      <c r="C157" s="1">
        <v>221</v>
      </c>
      <c r="D157" s="1">
        <v>31</v>
      </c>
      <c r="E157" s="1">
        <v>87443</v>
      </c>
      <c r="F157" s="1">
        <v>6.19</v>
      </c>
      <c r="G157" s="1">
        <v>10283</v>
      </c>
    </row>
    <row r="158" spans="1:7" ht="14.25" hidden="1" customHeight="1">
      <c r="A158" s="2">
        <v>45516</v>
      </c>
      <c r="B158" s="1" t="s">
        <v>31</v>
      </c>
      <c r="C158" s="1">
        <v>1528</v>
      </c>
      <c r="D158" s="1">
        <v>203</v>
      </c>
      <c r="E158" s="1">
        <v>489188</v>
      </c>
      <c r="F158" s="1">
        <v>6.23</v>
      </c>
      <c r="G158" s="1">
        <v>47101</v>
      </c>
    </row>
    <row r="159" spans="1:7" ht="14.25" customHeight="1">
      <c r="A159" s="2">
        <v>45516</v>
      </c>
      <c r="B159" s="1" t="s">
        <v>40</v>
      </c>
      <c r="C159" s="1">
        <v>1534</v>
      </c>
      <c r="D159" s="1">
        <v>200</v>
      </c>
      <c r="E159" s="1">
        <v>307612</v>
      </c>
      <c r="F159" s="1">
        <v>6.01</v>
      </c>
      <c r="G159" s="1">
        <v>37903</v>
      </c>
    </row>
    <row r="160" spans="1:7" ht="14.25" hidden="1" customHeight="1">
      <c r="A160" s="2">
        <v>45516</v>
      </c>
      <c r="B160" s="1" t="s">
        <v>14</v>
      </c>
      <c r="C160" s="1">
        <v>485</v>
      </c>
      <c r="D160" s="1">
        <v>448</v>
      </c>
      <c r="E160" s="1">
        <v>434883</v>
      </c>
      <c r="F160" s="1">
        <v>8.5500000000000007</v>
      </c>
      <c r="G160" s="1">
        <v>33258</v>
      </c>
    </row>
    <row r="161" spans="1:7" ht="14.25" hidden="1" customHeight="1">
      <c r="A161" s="2">
        <v>45516</v>
      </c>
      <c r="B161" s="1" t="s">
        <v>27</v>
      </c>
      <c r="C161" s="1">
        <v>1210</v>
      </c>
      <c r="D161" s="1">
        <v>178</v>
      </c>
      <c r="E161" s="1">
        <v>102042</v>
      </c>
      <c r="F161" s="1">
        <v>5.42</v>
      </c>
      <c r="G161" s="1">
        <v>6915</v>
      </c>
    </row>
    <row r="162" spans="1:7" ht="14.25" hidden="1" customHeight="1">
      <c r="A162" s="2">
        <v>45509</v>
      </c>
      <c r="B162" s="1" t="s">
        <v>31</v>
      </c>
      <c r="C162" s="1">
        <v>645</v>
      </c>
      <c r="D162" s="1">
        <v>293</v>
      </c>
      <c r="E162" s="1">
        <v>437968</v>
      </c>
      <c r="F162" s="1">
        <v>7.83</v>
      </c>
      <c r="G162" s="1">
        <v>49303</v>
      </c>
    </row>
    <row r="163" spans="1:7" ht="14.25" customHeight="1">
      <c r="A163" s="2">
        <v>45509</v>
      </c>
      <c r="B163" s="1" t="s">
        <v>40</v>
      </c>
      <c r="C163" s="1">
        <v>214</v>
      </c>
      <c r="D163" s="1">
        <v>411</v>
      </c>
      <c r="E163" s="1">
        <v>125034</v>
      </c>
      <c r="F163" s="1">
        <v>6.11</v>
      </c>
      <c r="G163" s="1">
        <v>26455</v>
      </c>
    </row>
    <row r="164" spans="1:7" ht="14.25" hidden="1" customHeight="1">
      <c r="A164" s="2">
        <v>45509</v>
      </c>
      <c r="B164" s="1" t="s">
        <v>14</v>
      </c>
      <c r="C164" s="1">
        <v>826</v>
      </c>
      <c r="D164" s="1">
        <v>498</v>
      </c>
      <c r="E164" s="1">
        <v>449994</v>
      </c>
      <c r="F164" s="1">
        <v>9.43</v>
      </c>
      <c r="G164" s="1">
        <v>12384</v>
      </c>
    </row>
    <row r="165" spans="1:7" ht="14.25" hidden="1" customHeight="1">
      <c r="A165" s="2">
        <v>45509</v>
      </c>
      <c r="B165" s="1" t="s">
        <v>27</v>
      </c>
      <c r="C165" s="1">
        <v>460</v>
      </c>
      <c r="D165" s="1">
        <v>141</v>
      </c>
      <c r="E165" s="1">
        <v>320650</v>
      </c>
      <c r="F165" s="1">
        <v>4.04</v>
      </c>
      <c r="G165" s="1">
        <v>49372</v>
      </c>
    </row>
    <row r="166" spans="1:7" ht="14.25" hidden="1" customHeight="1">
      <c r="A166" s="2">
        <v>45502</v>
      </c>
      <c r="B166" s="1" t="s">
        <v>31</v>
      </c>
      <c r="C166" s="1">
        <v>653</v>
      </c>
      <c r="D166" s="1">
        <v>112</v>
      </c>
      <c r="E166" s="1">
        <v>23664</v>
      </c>
      <c r="F166" s="1">
        <v>4.05</v>
      </c>
      <c r="G166" s="1">
        <v>15353</v>
      </c>
    </row>
    <row r="167" spans="1:7" ht="14.25" customHeight="1">
      <c r="A167" s="2">
        <v>45502</v>
      </c>
      <c r="B167" s="1" t="s">
        <v>40</v>
      </c>
      <c r="C167" s="1">
        <v>160</v>
      </c>
      <c r="D167" s="1">
        <v>478</v>
      </c>
      <c r="E167" s="1">
        <v>435034</v>
      </c>
      <c r="F167" s="1">
        <v>7.73</v>
      </c>
      <c r="G167" s="1">
        <v>4839</v>
      </c>
    </row>
    <row r="168" spans="1:7" ht="14.25" hidden="1" customHeight="1">
      <c r="A168" s="2">
        <v>45502</v>
      </c>
      <c r="B168" s="1" t="s">
        <v>14</v>
      </c>
      <c r="C168" s="1">
        <v>1756</v>
      </c>
      <c r="D168" s="1">
        <v>261</v>
      </c>
      <c r="E168" s="1">
        <v>287574</v>
      </c>
      <c r="F168" s="1">
        <v>4.3600000000000003</v>
      </c>
      <c r="G168" s="1">
        <v>39272</v>
      </c>
    </row>
    <row r="169" spans="1:7" ht="14.25" hidden="1" customHeight="1">
      <c r="A169" s="2">
        <v>45502</v>
      </c>
      <c r="B169" s="1" t="s">
        <v>27</v>
      </c>
      <c r="C169" s="1">
        <v>576</v>
      </c>
      <c r="D169" s="1">
        <v>101</v>
      </c>
      <c r="E169" s="1">
        <v>62499</v>
      </c>
      <c r="F169" s="1">
        <v>3.48</v>
      </c>
      <c r="G169" s="1">
        <v>16804</v>
      </c>
    </row>
    <row r="170" spans="1:7" ht="14.25" hidden="1" customHeight="1">
      <c r="A170" s="2">
        <v>45495</v>
      </c>
      <c r="B170" s="1" t="s">
        <v>31</v>
      </c>
      <c r="C170" s="1">
        <v>508</v>
      </c>
      <c r="D170" s="1">
        <v>349</v>
      </c>
      <c r="E170" s="1">
        <v>473812</v>
      </c>
      <c r="F170" s="1">
        <v>7.88</v>
      </c>
      <c r="G170" s="1">
        <v>17328</v>
      </c>
    </row>
    <row r="171" spans="1:7" ht="14.25" customHeight="1">
      <c r="A171" s="2">
        <v>45495</v>
      </c>
      <c r="B171" s="1" t="s">
        <v>40</v>
      </c>
      <c r="C171" s="1">
        <v>1391</v>
      </c>
      <c r="D171" s="1">
        <v>430</v>
      </c>
      <c r="E171" s="1">
        <v>295032</v>
      </c>
      <c r="F171" s="1">
        <v>7.86</v>
      </c>
      <c r="G171" s="1">
        <v>26067</v>
      </c>
    </row>
    <row r="172" spans="1:7" ht="14.25" hidden="1" customHeight="1">
      <c r="A172" s="2">
        <v>45495</v>
      </c>
      <c r="B172" s="1" t="s">
        <v>14</v>
      </c>
      <c r="C172" s="1">
        <v>1701</v>
      </c>
      <c r="D172" s="1">
        <v>385</v>
      </c>
      <c r="E172" s="1">
        <v>198278</v>
      </c>
      <c r="F172" s="1">
        <v>5.34</v>
      </c>
      <c r="G172" s="1">
        <v>32763</v>
      </c>
    </row>
    <row r="173" spans="1:7" ht="14.25" hidden="1" customHeight="1">
      <c r="A173" s="2">
        <v>45495</v>
      </c>
      <c r="B173" s="1" t="s">
        <v>27</v>
      </c>
      <c r="C173" s="1">
        <v>804</v>
      </c>
      <c r="D173" s="1">
        <v>487</v>
      </c>
      <c r="E173" s="1">
        <v>306564</v>
      </c>
      <c r="F173" s="1">
        <v>5.52</v>
      </c>
      <c r="G173" s="1">
        <v>26452</v>
      </c>
    </row>
    <row r="174" spans="1:7" ht="14.25" hidden="1" customHeight="1">
      <c r="A174" s="2">
        <v>45488</v>
      </c>
      <c r="B174" s="1" t="s">
        <v>31</v>
      </c>
      <c r="C174" s="1">
        <v>1960</v>
      </c>
      <c r="D174" s="1">
        <v>115</v>
      </c>
      <c r="E174" s="1">
        <v>154169</v>
      </c>
      <c r="F174" s="1">
        <v>3.74</v>
      </c>
      <c r="G174" s="1">
        <v>10740</v>
      </c>
    </row>
    <row r="175" spans="1:7" ht="14.25" customHeight="1">
      <c r="A175" s="2">
        <v>45488</v>
      </c>
      <c r="B175" s="1" t="s">
        <v>40</v>
      </c>
      <c r="C175" s="1">
        <v>170</v>
      </c>
      <c r="D175" s="1">
        <v>334</v>
      </c>
      <c r="E175" s="1">
        <v>334626</v>
      </c>
      <c r="F175" s="1">
        <v>6.44</v>
      </c>
      <c r="G175" s="1">
        <v>43420</v>
      </c>
    </row>
    <row r="176" spans="1:7" ht="14.25" hidden="1" customHeight="1">
      <c r="A176" s="2">
        <v>45488</v>
      </c>
      <c r="B176" s="1" t="s">
        <v>14</v>
      </c>
      <c r="C176" s="1">
        <v>704</v>
      </c>
      <c r="D176" s="1">
        <v>275</v>
      </c>
      <c r="E176" s="1">
        <v>226002</v>
      </c>
      <c r="F176" s="1">
        <v>8.56</v>
      </c>
      <c r="G176" s="1">
        <v>32393</v>
      </c>
    </row>
    <row r="177" spans="1:7" ht="14.25" hidden="1" customHeight="1">
      <c r="A177" s="2">
        <v>45488</v>
      </c>
      <c r="B177" s="1" t="s">
        <v>27</v>
      </c>
      <c r="C177" s="1">
        <v>224</v>
      </c>
      <c r="D177" s="1">
        <v>64</v>
      </c>
      <c r="E177" s="1">
        <v>156683</v>
      </c>
      <c r="F177" s="1">
        <v>4.5599999999999996</v>
      </c>
      <c r="G177" s="1">
        <v>28474</v>
      </c>
    </row>
    <row r="178" spans="1:7" ht="14.25" hidden="1" customHeight="1">
      <c r="A178" s="2">
        <v>45481</v>
      </c>
      <c r="B178" s="1" t="s">
        <v>31</v>
      </c>
      <c r="C178" s="1">
        <v>1757</v>
      </c>
      <c r="D178" s="1">
        <v>85</v>
      </c>
      <c r="E178" s="1">
        <v>58223</v>
      </c>
      <c r="F178" s="1">
        <v>8.74</v>
      </c>
      <c r="G178" s="1">
        <v>22728</v>
      </c>
    </row>
    <row r="179" spans="1:7" ht="14.25" customHeight="1">
      <c r="A179" s="2">
        <v>45481</v>
      </c>
      <c r="B179" s="1" t="s">
        <v>40</v>
      </c>
      <c r="C179" s="1">
        <v>350</v>
      </c>
      <c r="D179" s="1">
        <v>41</v>
      </c>
      <c r="E179" s="1">
        <v>251694</v>
      </c>
      <c r="F179" s="1">
        <v>1.91</v>
      </c>
      <c r="G179" s="1">
        <v>38610</v>
      </c>
    </row>
    <row r="180" spans="1:7" ht="14.25" hidden="1" customHeight="1">
      <c r="A180" s="2">
        <v>45481</v>
      </c>
      <c r="B180" s="1" t="s">
        <v>14</v>
      </c>
      <c r="C180" s="1">
        <v>987</v>
      </c>
      <c r="D180" s="1">
        <v>440</v>
      </c>
      <c r="E180" s="1">
        <v>389810</v>
      </c>
      <c r="F180" s="1">
        <v>4.66</v>
      </c>
      <c r="G180" s="1">
        <v>2932</v>
      </c>
    </row>
    <row r="181" spans="1:7" ht="14.25" hidden="1" customHeight="1">
      <c r="A181" s="2">
        <v>45481</v>
      </c>
      <c r="B181" s="1" t="s">
        <v>27</v>
      </c>
      <c r="C181" s="1">
        <v>883</v>
      </c>
      <c r="D181" s="1">
        <v>369</v>
      </c>
      <c r="E181" s="1">
        <v>233694</v>
      </c>
      <c r="F181" s="1">
        <v>2.88</v>
      </c>
      <c r="G181" s="1">
        <v>15071</v>
      </c>
    </row>
    <row r="182" spans="1:7" ht="14.25" hidden="1" customHeight="1">
      <c r="A182" s="2">
        <v>45474</v>
      </c>
      <c r="B182" s="1" t="s">
        <v>31</v>
      </c>
      <c r="C182" s="1">
        <v>226</v>
      </c>
      <c r="D182" s="1">
        <v>445</v>
      </c>
      <c r="E182" s="1">
        <v>419447</v>
      </c>
      <c r="F182" s="1">
        <v>9.36</v>
      </c>
      <c r="G182" s="1">
        <v>9566</v>
      </c>
    </row>
    <row r="183" spans="1:7" ht="14.25" customHeight="1">
      <c r="A183" s="2">
        <v>45474</v>
      </c>
      <c r="B183" s="1" t="s">
        <v>40</v>
      </c>
      <c r="C183" s="1">
        <v>505</v>
      </c>
      <c r="D183" s="1">
        <v>441</v>
      </c>
      <c r="E183" s="1">
        <v>220020</v>
      </c>
      <c r="F183" s="1">
        <v>4.4800000000000004</v>
      </c>
      <c r="G183" s="1">
        <v>42307</v>
      </c>
    </row>
    <row r="184" spans="1:7" ht="14.25" hidden="1" customHeight="1">
      <c r="A184" s="2">
        <v>45474</v>
      </c>
      <c r="B184" s="1" t="s">
        <v>14</v>
      </c>
      <c r="C184" s="1">
        <v>1420</v>
      </c>
      <c r="D184" s="1">
        <v>63</v>
      </c>
      <c r="E184" s="1">
        <v>315305</v>
      </c>
      <c r="F184" s="1">
        <v>6.19</v>
      </c>
      <c r="G184" s="1">
        <v>5914</v>
      </c>
    </row>
    <row r="185" spans="1:7" ht="14.25" hidden="1" customHeight="1">
      <c r="A185" s="2">
        <v>45474</v>
      </c>
      <c r="B185" s="1" t="s">
        <v>27</v>
      </c>
      <c r="C185" s="1">
        <v>144</v>
      </c>
      <c r="D185" s="1">
        <v>53</v>
      </c>
      <c r="E185" s="1">
        <v>113678</v>
      </c>
      <c r="F185" s="1">
        <v>8.7200000000000006</v>
      </c>
      <c r="G185" s="1">
        <v>30060</v>
      </c>
    </row>
    <row r="186" spans="1:7" ht="14.25" hidden="1" customHeight="1">
      <c r="A186" s="2">
        <v>45467</v>
      </c>
      <c r="B186" s="1" t="s">
        <v>31</v>
      </c>
      <c r="C186" s="1">
        <v>911</v>
      </c>
      <c r="D186" s="1">
        <v>282</v>
      </c>
      <c r="E186" s="1">
        <v>35664</v>
      </c>
      <c r="F186" s="1">
        <v>6.92</v>
      </c>
      <c r="G186" s="1">
        <v>18050</v>
      </c>
    </row>
    <row r="187" spans="1:7" ht="14.25" customHeight="1">
      <c r="A187" s="2">
        <v>45467</v>
      </c>
      <c r="B187" s="1" t="s">
        <v>40</v>
      </c>
      <c r="C187" s="1">
        <v>1779</v>
      </c>
      <c r="D187" s="1">
        <v>109</v>
      </c>
      <c r="E187" s="1">
        <v>26295</v>
      </c>
      <c r="F187" s="1">
        <v>9.1199999999999992</v>
      </c>
      <c r="G187" s="1">
        <v>30635</v>
      </c>
    </row>
    <row r="188" spans="1:7" ht="14.25" hidden="1" customHeight="1">
      <c r="A188" s="2">
        <v>45467</v>
      </c>
      <c r="B188" s="1" t="s">
        <v>14</v>
      </c>
      <c r="C188" s="1">
        <v>1238</v>
      </c>
      <c r="D188" s="1">
        <v>403</v>
      </c>
      <c r="E188" s="1">
        <v>298421</v>
      </c>
      <c r="F188" s="1">
        <v>3.5</v>
      </c>
      <c r="G188" s="1">
        <v>31280</v>
      </c>
    </row>
    <row r="189" spans="1:7" ht="14.25" hidden="1" customHeight="1">
      <c r="A189" s="2">
        <v>45467</v>
      </c>
      <c r="B189" s="1" t="s">
        <v>27</v>
      </c>
      <c r="C189" s="1">
        <v>308</v>
      </c>
      <c r="D189" s="1">
        <v>431</v>
      </c>
      <c r="E189" s="1">
        <v>426184</v>
      </c>
      <c r="F189" s="1">
        <v>2.62</v>
      </c>
      <c r="G189" s="1">
        <v>1783</v>
      </c>
    </row>
    <row r="190" spans="1:7" ht="14.25" hidden="1" customHeight="1">
      <c r="A190" s="2">
        <v>45460</v>
      </c>
      <c r="B190" s="1" t="s">
        <v>31</v>
      </c>
      <c r="C190" s="1">
        <v>1048</v>
      </c>
      <c r="D190" s="1">
        <v>155</v>
      </c>
      <c r="E190" s="1">
        <v>456946</v>
      </c>
      <c r="F190" s="1">
        <v>2.46</v>
      </c>
      <c r="G190" s="1">
        <v>11329</v>
      </c>
    </row>
    <row r="191" spans="1:7" ht="14.25" customHeight="1">
      <c r="A191" s="2">
        <v>45460</v>
      </c>
      <c r="B191" s="1" t="s">
        <v>40</v>
      </c>
      <c r="C191" s="1">
        <v>1753</v>
      </c>
      <c r="D191" s="1">
        <v>371</v>
      </c>
      <c r="E191" s="1">
        <v>169496</v>
      </c>
      <c r="F191" s="1">
        <v>8.11</v>
      </c>
      <c r="G191" s="1">
        <v>46670</v>
      </c>
    </row>
    <row r="192" spans="1:7" ht="14.25" hidden="1" customHeight="1">
      <c r="A192" s="2">
        <v>45460</v>
      </c>
      <c r="B192" s="1" t="s">
        <v>14</v>
      </c>
      <c r="C192" s="1">
        <v>1335</v>
      </c>
      <c r="D192" s="1">
        <v>40</v>
      </c>
      <c r="E192" s="1">
        <v>122732</v>
      </c>
      <c r="F192" s="1">
        <v>8.19</v>
      </c>
      <c r="G192" s="1">
        <v>22482</v>
      </c>
    </row>
    <row r="193" spans="1:7" ht="14.25" hidden="1" customHeight="1">
      <c r="A193" s="2">
        <v>45460</v>
      </c>
      <c r="B193" s="1" t="s">
        <v>27</v>
      </c>
      <c r="C193" s="1">
        <v>403</v>
      </c>
      <c r="D193" s="1">
        <v>66</v>
      </c>
      <c r="E193" s="1">
        <v>382851</v>
      </c>
      <c r="F193" s="1">
        <v>3.49</v>
      </c>
      <c r="G193" s="1">
        <v>24313</v>
      </c>
    </row>
    <row r="194" spans="1:7" ht="14.25" hidden="1" customHeight="1">
      <c r="A194" s="2">
        <v>45453</v>
      </c>
      <c r="B194" s="1" t="s">
        <v>31</v>
      </c>
      <c r="C194" s="1">
        <v>656</v>
      </c>
      <c r="D194" s="1">
        <v>139</v>
      </c>
      <c r="E194" s="1">
        <v>49157</v>
      </c>
      <c r="F194" s="1">
        <v>9.0500000000000007</v>
      </c>
      <c r="G194" s="1">
        <v>9920</v>
      </c>
    </row>
    <row r="195" spans="1:7" ht="14.25" customHeight="1">
      <c r="A195" s="2">
        <v>45453</v>
      </c>
      <c r="B195" s="1" t="s">
        <v>40</v>
      </c>
      <c r="C195" s="1">
        <v>1697</v>
      </c>
      <c r="D195" s="1">
        <v>414</v>
      </c>
      <c r="E195" s="1">
        <v>316555</v>
      </c>
      <c r="F195" s="1">
        <v>2.37</v>
      </c>
      <c r="G195" s="1">
        <v>7924</v>
      </c>
    </row>
    <row r="196" spans="1:7" ht="14.25" hidden="1" customHeight="1">
      <c r="A196" s="2">
        <v>45453</v>
      </c>
      <c r="B196" s="1" t="s">
        <v>14</v>
      </c>
      <c r="C196" s="1">
        <v>436</v>
      </c>
      <c r="D196" s="1">
        <v>250</v>
      </c>
      <c r="E196" s="1">
        <v>254347</v>
      </c>
      <c r="F196" s="1">
        <v>4.01</v>
      </c>
      <c r="G196" s="1">
        <v>8912</v>
      </c>
    </row>
    <row r="197" spans="1:7" ht="14.25" hidden="1" customHeight="1">
      <c r="A197" s="2">
        <v>45453</v>
      </c>
      <c r="B197" s="1" t="s">
        <v>27</v>
      </c>
      <c r="C197" s="1">
        <v>1197</v>
      </c>
      <c r="D197" s="1">
        <v>203</v>
      </c>
      <c r="E197" s="1">
        <v>413878</v>
      </c>
      <c r="F197" s="1">
        <v>3.16</v>
      </c>
      <c r="G197" s="1">
        <v>21205</v>
      </c>
    </row>
    <row r="198" spans="1:7" ht="14.25" hidden="1" customHeight="1">
      <c r="A198" s="2">
        <v>45446</v>
      </c>
      <c r="B198" s="1" t="s">
        <v>31</v>
      </c>
      <c r="C198" s="1">
        <v>1135</v>
      </c>
      <c r="D198" s="1">
        <v>88</v>
      </c>
      <c r="E198" s="1">
        <v>344084</v>
      </c>
      <c r="F198" s="1">
        <v>8.06</v>
      </c>
      <c r="G198" s="1">
        <v>5904</v>
      </c>
    </row>
    <row r="199" spans="1:7" ht="14.25" customHeight="1">
      <c r="A199" s="2">
        <v>45446</v>
      </c>
      <c r="B199" s="1" t="s">
        <v>40</v>
      </c>
      <c r="C199" s="1">
        <v>1312</v>
      </c>
      <c r="D199" s="1">
        <v>310</v>
      </c>
      <c r="E199" s="1">
        <v>42654</v>
      </c>
      <c r="F199" s="1">
        <v>4.9800000000000004</v>
      </c>
      <c r="G199" s="1">
        <v>9566</v>
      </c>
    </row>
    <row r="200" spans="1:7" ht="14.25" hidden="1" customHeight="1">
      <c r="A200" s="2">
        <v>45446</v>
      </c>
      <c r="B200" s="1" t="s">
        <v>14</v>
      </c>
      <c r="C200" s="1">
        <v>584</v>
      </c>
      <c r="D200" s="1">
        <v>169</v>
      </c>
      <c r="E200" s="1">
        <v>146834</v>
      </c>
      <c r="F200" s="1">
        <v>8.31</v>
      </c>
      <c r="G200" s="1">
        <v>26752</v>
      </c>
    </row>
    <row r="201" spans="1:7" ht="14.25" hidden="1" customHeight="1">
      <c r="A201" s="2">
        <v>45446</v>
      </c>
      <c r="B201" s="1" t="s">
        <v>27</v>
      </c>
      <c r="C201" s="1">
        <v>1535</v>
      </c>
      <c r="D201" s="1">
        <v>445</v>
      </c>
      <c r="E201" s="1">
        <v>395536</v>
      </c>
      <c r="F201" s="1">
        <v>4.1100000000000003</v>
      </c>
      <c r="G201" s="1">
        <v>30671</v>
      </c>
    </row>
    <row r="202" spans="1:7" ht="14.25" customHeight="1"/>
    <row r="203" spans="1:7" ht="14.25" customHeight="1"/>
    <row r="204" spans="1:7" ht="14.25" customHeight="1"/>
    <row r="205" spans="1:7" ht="14.25" customHeight="1"/>
    <row r="206" spans="1:7" ht="14.25" customHeight="1"/>
    <row r="207" spans="1:7" ht="14.25" customHeight="1"/>
    <row r="208" spans="1:7"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F1000"/>
  <sheetViews>
    <sheetView workbookViewId="0">
      <selection activeCell="B29" sqref="B29"/>
    </sheetView>
  </sheetViews>
  <sheetFormatPr defaultColWidth="14.44140625" defaultRowHeight="15" customHeight="1"/>
  <cols>
    <col min="1" max="1" width="19.109375" customWidth="1"/>
    <col min="2" max="2" width="15.5546875" customWidth="1"/>
    <col min="3" max="3" width="28.5546875" customWidth="1"/>
    <col min="4" max="4" width="10.88671875" customWidth="1"/>
    <col min="5" max="5" width="14.109375" customWidth="1"/>
    <col min="6" max="6" width="17.33203125" customWidth="1"/>
    <col min="7" max="26" width="8.6640625" customWidth="1"/>
  </cols>
  <sheetData>
    <row r="1" spans="1:6" ht="14.25" customHeight="1" thickBot="1">
      <c r="A1" s="11" t="s">
        <v>12</v>
      </c>
      <c r="B1" s="12" t="s">
        <v>562</v>
      </c>
      <c r="C1" s="12" t="s">
        <v>563</v>
      </c>
      <c r="D1" s="13" t="s">
        <v>564</v>
      </c>
      <c r="E1" s="14" t="s">
        <v>565</v>
      </c>
      <c r="F1" s="15" t="s">
        <v>566</v>
      </c>
    </row>
    <row r="2" spans="1:6" ht="14.25" customHeight="1" thickBot="1">
      <c r="A2" s="9" t="s">
        <v>25</v>
      </c>
      <c r="B2" s="4">
        <v>45453</v>
      </c>
      <c r="C2" s="4">
        <v>45478</v>
      </c>
      <c r="D2" s="3" t="s">
        <v>567</v>
      </c>
      <c r="E2" s="5">
        <v>180000</v>
      </c>
      <c r="F2" s="10" t="s">
        <v>568</v>
      </c>
    </row>
    <row r="3" spans="1:6" ht="14.25" customHeight="1">
      <c r="A3" s="9" t="s">
        <v>19</v>
      </c>
      <c r="B3" s="4">
        <v>45505</v>
      </c>
      <c r="C3" s="4">
        <v>45535</v>
      </c>
      <c r="D3" s="3" t="s">
        <v>569</v>
      </c>
      <c r="E3" s="5">
        <v>160000</v>
      </c>
      <c r="F3" s="10" t="s">
        <v>570</v>
      </c>
    </row>
    <row r="4" spans="1:6" ht="14.25" customHeight="1" thickBot="1">
      <c r="A4" s="9" t="s">
        <v>38</v>
      </c>
      <c r="B4" s="4">
        <v>45570</v>
      </c>
      <c r="C4" s="4">
        <v>45601</v>
      </c>
      <c r="D4" s="3" t="s">
        <v>571</v>
      </c>
      <c r="E4" s="5">
        <v>220000</v>
      </c>
      <c r="F4" s="10" t="s">
        <v>572</v>
      </c>
    </row>
    <row r="5" spans="1:6" ht="14.25" customHeight="1">
      <c r="A5" s="16" t="s">
        <v>55</v>
      </c>
      <c r="B5" s="17">
        <v>45667</v>
      </c>
      <c r="C5" s="17">
        <v>45698</v>
      </c>
      <c r="D5" s="18" t="s">
        <v>573</v>
      </c>
      <c r="E5" s="19">
        <v>200000</v>
      </c>
      <c r="F5" s="20" t="s">
        <v>574</v>
      </c>
    </row>
    <row r="6" spans="1:6" ht="14.25" customHeight="1"/>
    <row r="7" spans="1:6" ht="14.25" customHeight="1"/>
    <row r="8" spans="1:6" ht="14.25" customHeight="1"/>
    <row r="9" spans="1:6" ht="14.25" customHeight="1"/>
    <row r="10" spans="1:6" ht="14.25" customHeight="1"/>
    <row r="11" spans="1:6" ht="14.25" customHeight="1"/>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E033-A226-4A0E-9FB4-77465C7B27B8}">
  <sheetPr codeName="Sheet5"/>
  <dimension ref="A1:S457"/>
  <sheetViews>
    <sheetView zoomScale="85" zoomScaleNormal="85" workbookViewId="0">
      <pane xSplit="4" ySplit="1" topLeftCell="J2" activePane="bottomRight" state="frozen"/>
      <selection activeCell="B29" sqref="B29"/>
      <selection pane="topRight" activeCell="B29" sqref="B29"/>
      <selection pane="bottomLeft" activeCell="B29" sqref="B29"/>
      <selection pane="bottomRight" activeCell="R3" sqref="R3:S3"/>
    </sheetView>
  </sheetViews>
  <sheetFormatPr defaultRowHeight="14.4"/>
  <cols>
    <col min="1" max="1" width="9.77734375" customWidth="1"/>
    <col min="2" max="2" width="11.33203125" bestFit="1" customWidth="1"/>
    <col min="3" max="3" width="10.5546875" style="22" bestFit="1" customWidth="1"/>
    <col min="4" max="4" width="15.5546875" bestFit="1" customWidth="1"/>
    <col min="5" max="5" width="28.88671875" bestFit="1" customWidth="1"/>
    <col min="6" max="6" width="7.77734375" bestFit="1" customWidth="1"/>
    <col min="7" max="7" width="9.44140625" bestFit="1" customWidth="1"/>
    <col min="8" max="8" width="12.88671875" bestFit="1" customWidth="1"/>
    <col min="9" max="9" width="14" bestFit="1" customWidth="1"/>
    <col min="10" max="10" width="8.88671875" bestFit="1" customWidth="1"/>
    <col min="11" max="11" width="8.33203125" bestFit="1" customWidth="1"/>
    <col min="12" max="12" width="18.6640625" bestFit="1" customWidth="1"/>
    <col min="13" max="13" width="19.33203125" style="21" bestFit="1" customWidth="1"/>
    <col min="14" max="14" width="7" style="21" bestFit="1" customWidth="1"/>
    <col min="15" max="15" width="19.44140625" bestFit="1" customWidth="1"/>
    <col min="16" max="16" width="16.21875" bestFit="1" customWidth="1"/>
    <col min="17" max="17" width="9.44140625" bestFit="1" customWidth="1"/>
    <col min="18" max="18" width="21.6640625" style="22" bestFit="1" customWidth="1"/>
    <col min="19" max="19" width="20.6640625" style="22" bestFit="1" customWidth="1"/>
  </cols>
  <sheetData>
    <row r="1" spans="1:19" ht="24.6" customHeight="1">
      <c r="A1" t="s">
        <v>0</v>
      </c>
      <c r="B1" t="s">
        <v>1</v>
      </c>
      <c r="C1" s="22" t="s">
        <v>2</v>
      </c>
      <c r="D1" t="s">
        <v>3</v>
      </c>
      <c r="E1" t="s">
        <v>4</v>
      </c>
      <c r="F1" t="s">
        <v>5</v>
      </c>
      <c r="G1" t="s">
        <v>6</v>
      </c>
      <c r="H1" t="s">
        <v>7</v>
      </c>
      <c r="I1" t="s">
        <v>8</v>
      </c>
      <c r="J1" t="s">
        <v>9</v>
      </c>
      <c r="K1" t="s">
        <v>10</v>
      </c>
      <c r="L1" t="s">
        <v>12</v>
      </c>
      <c r="M1" s="21" t="s">
        <v>575</v>
      </c>
      <c r="N1" s="21" t="s">
        <v>576</v>
      </c>
      <c r="O1" t="s">
        <v>577</v>
      </c>
      <c r="P1" t="s">
        <v>579</v>
      </c>
      <c r="Q1" s="36" t="s">
        <v>613</v>
      </c>
      <c r="R1" s="59" t="s">
        <v>612</v>
      </c>
      <c r="S1" s="59" t="s">
        <v>611</v>
      </c>
    </row>
    <row r="2" spans="1:19">
      <c r="A2" t="s">
        <v>13</v>
      </c>
      <c r="B2" t="s">
        <v>14</v>
      </c>
      <c r="C2" s="22">
        <v>45649</v>
      </c>
      <c r="D2" t="s">
        <v>16</v>
      </c>
      <c r="E2" t="s">
        <v>17</v>
      </c>
      <c r="F2">
        <v>1461</v>
      </c>
      <c r="G2">
        <v>184</v>
      </c>
      <c r="H2">
        <v>344</v>
      </c>
      <c r="I2">
        <v>21915</v>
      </c>
      <c r="J2">
        <v>21675</v>
      </c>
      <c r="K2">
        <v>15</v>
      </c>
      <c r="L2" t="s">
        <v>19</v>
      </c>
      <c r="M2" s="21">
        <v>9.0759753593429193E-2</v>
      </c>
      <c r="N2" s="21">
        <v>6.8446269678302499E-4</v>
      </c>
      <c r="O2">
        <v>1989</v>
      </c>
      <c r="P2" t="s">
        <v>18</v>
      </c>
      <c r="Q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 s="22">
        <f>_xlfn.XLOOKUP(TBL_Post_1[[#This Row],[Campaign_Name]],TBL_Campaign_Data_1[Campaign_Name],TBL_Campaign_Data_1[Start_Date])</f>
        <v>45505</v>
      </c>
      <c r="S2" s="22">
        <f>_xlfn.XLOOKUP(TBL_Post_1[[#This Row],[Campaign_Name]],TBL_Campaign_Data_1[Campaign_Name],TBL_Campaign_Data_1[End_Date])</f>
        <v>45535</v>
      </c>
    </row>
    <row r="3" spans="1:19">
      <c r="A3" t="s">
        <v>20</v>
      </c>
      <c r="B3" t="s">
        <v>14</v>
      </c>
      <c r="C3" s="22">
        <v>45750</v>
      </c>
      <c r="D3" t="s">
        <v>22</v>
      </c>
      <c r="E3" t="s">
        <v>23</v>
      </c>
      <c r="F3">
        <v>4054</v>
      </c>
      <c r="G3">
        <v>389</v>
      </c>
      <c r="H3">
        <v>493</v>
      </c>
      <c r="I3">
        <v>64864</v>
      </c>
      <c r="J3">
        <v>64383</v>
      </c>
      <c r="K3">
        <v>117</v>
      </c>
      <c r="L3" t="s">
        <v>25</v>
      </c>
      <c r="M3" s="21">
        <v>7.6097681302417397E-2</v>
      </c>
      <c r="N3" s="21">
        <v>1.8037740503206699E-3</v>
      </c>
      <c r="O3">
        <v>4936</v>
      </c>
      <c r="P3" t="s">
        <v>24</v>
      </c>
      <c r="Q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 s="22">
        <f>_xlfn.XLOOKUP(TBL_Post_1[[#This Row],[Campaign_Name]],TBL_Campaign_Data_1[Campaign_Name],TBL_Campaign_Data_1[Start_Date])</f>
        <v>45453</v>
      </c>
      <c r="S3" s="22">
        <f>_xlfn.XLOOKUP(TBL_Post_1[[#This Row],[Campaign_Name]],TBL_Campaign_Data_1[Campaign_Name],TBL_Campaign_Data_1[End_Date])</f>
        <v>45478</v>
      </c>
    </row>
    <row r="4" spans="1:19">
      <c r="A4" t="s">
        <v>26</v>
      </c>
      <c r="B4" t="s">
        <v>27</v>
      </c>
      <c r="C4" s="22">
        <v>45789</v>
      </c>
      <c r="D4" t="s">
        <v>16</v>
      </c>
      <c r="E4" t="s">
        <v>17</v>
      </c>
      <c r="F4">
        <v>2795</v>
      </c>
      <c r="G4">
        <v>105</v>
      </c>
      <c r="H4">
        <v>49</v>
      </c>
      <c r="I4">
        <v>53105</v>
      </c>
      <c r="J4">
        <v>52307</v>
      </c>
      <c r="K4">
        <v>204</v>
      </c>
      <c r="L4" t="s">
        <v>19</v>
      </c>
      <c r="M4" s="21">
        <v>5.5531494209584802E-2</v>
      </c>
      <c r="N4" s="21">
        <v>3.8414461915073899E-3</v>
      </c>
      <c r="O4">
        <v>2949</v>
      </c>
      <c r="P4" t="s">
        <v>24</v>
      </c>
      <c r="Q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 s="22">
        <f>_xlfn.XLOOKUP(TBL_Post_1[[#This Row],[Campaign_Name]],TBL_Campaign_Data_1[Campaign_Name],TBL_Campaign_Data_1[Start_Date])</f>
        <v>45505</v>
      </c>
      <c r="S4" s="22">
        <f>_xlfn.XLOOKUP(TBL_Post_1[[#This Row],[Campaign_Name]],TBL_Campaign_Data_1[Campaign_Name],TBL_Campaign_Data_1[End_Date])</f>
        <v>45535</v>
      </c>
    </row>
    <row r="5" spans="1:19">
      <c r="A5" t="s">
        <v>26</v>
      </c>
      <c r="B5" t="s">
        <v>27</v>
      </c>
      <c r="C5" s="22">
        <v>45789</v>
      </c>
      <c r="D5" t="s">
        <v>16</v>
      </c>
      <c r="E5" t="s">
        <v>17</v>
      </c>
      <c r="F5">
        <v>2795</v>
      </c>
      <c r="G5">
        <v>105</v>
      </c>
      <c r="H5">
        <v>49</v>
      </c>
      <c r="I5">
        <v>53105</v>
      </c>
      <c r="J5">
        <v>52307</v>
      </c>
      <c r="K5">
        <v>204</v>
      </c>
      <c r="L5" t="s">
        <v>19</v>
      </c>
      <c r="M5" s="21">
        <v>5.5531494209584802E-2</v>
      </c>
      <c r="N5" s="21">
        <v>3.8414461915073899E-3</v>
      </c>
      <c r="O5">
        <v>2949</v>
      </c>
      <c r="P5" t="s">
        <v>18</v>
      </c>
      <c r="Q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5" s="22">
        <f>_xlfn.XLOOKUP(TBL_Post_1[[#This Row],[Campaign_Name]],TBL_Campaign_Data_1[Campaign_Name],TBL_Campaign_Data_1[Start_Date])</f>
        <v>45505</v>
      </c>
      <c r="S5" s="22">
        <f>_xlfn.XLOOKUP(TBL_Post_1[[#This Row],[Campaign_Name]],TBL_Campaign_Data_1[Campaign_Name],TBL_Campaign_Data_1[End_Date])</f>
        <v>45535</v>
      </c>
    </row>
    <row r="6" spans="1:19">
      <c r="A6" t="s">
        <v>30</v>
      </c>
      <c r="B6" t="s">
        <v>31</v>
      </c>
      <c r="C6" s="22">
        <v>45516</v>
      </c>
      <c r="D6" t="s">
        <v>33</v>
      </c>
      <c r="E6" t="s">
        <v>34</v>
      </c>
      <c r="F6">
        <v>2404</v>
      </c>
      <c r="G6">
        <v>363</v>
      </c>
      <c r="H6">
        <v>138</v>
      </c>
      <c r="I6">
        <v>19232</v>
      </c>
      <c r="J6">
        <v>18636</v>
      </c>
      <c r="K6">
        <v>128</v>
      </c>
      <c r="L6" t="s">
        <v>19</v>
      </c>
      <c r="M6" s="21">
        <v>0.151050332778702</v>
      </c>
      <c r="N6" s="21">
        <v>6.6555740432612297E-3</v>
      </c>
      <c r="O6">
        <v>2905</v>
      </c>
      <c r="P6" t="s">
        <v>18</v>
      </c>
      <c r="Q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6" s="22">
        <f>_xlfn.XLOOKUP(TBL_Post_1[[#This Row],[Campaign_Name]],TBL_Campaign_Data_1[Campaign_Name],TBL_Campaign_Data_1[Start_Date])</f>
        <v>45505</v>
      </c>
      <c r="S6" s="22">
        <f>_xlfn.XLOOKUP(TBL_Post_1[[#This Row],[Campaign_Name]],TBL_Campaign_Data_1[Campaign_Name],TBL_Campaign_Data_1[End_Date])</f>
        <v>45535</v>
      </c>
    </row>
    <row r="7" spans="1:19">
      <c r="A7" t="s">
        <v>35</v>
      </c>
      <c r="B7" t="s">
        <v>27</v>
      </c>
      <c r="C7" s="22">
        <v>45469</v>
      </c>
      <c r="D7" t="s">
        <v>16</v>
      </c>
      <c r="E7" t="s">
        <v>17</v>
      </c>
      <c r="F7">
        <v>3557</v>
      </c>
      <c r="G7">
        <v>687</v>
      </c>
      <c r="H7">
        <v>424</v>
      </c>
      <c r="I7">
        <v>71140</v>
      </c>
      <c r="J7">
        <v>70701</v>
      </c>
      <c r="K7">
        <v>224</v>
      </c>
      <c r="L7" t="s">
        <v>38</v>
      </c>
      <c r="M7" s="21">
        <v>6.5617093055945999E-2</v>
      </c>
      <c r="N7" s="21">
        <v>3.1487208321619299E-3</v>
      </c>
      <c r="O7">
        <v>4668</v>
      </c>
      <c r="P7" t="s">
        <v>58</v>
      </c>
      <c r="Q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7" s="22">
        <f>_xlfn.XLOOKUP(TBL_Post_1[[#This Row],[Campaign_Name]],TBL_Campaign_Data_1[Campaign_Name],TBL_Campaign_Data_1[Start_Date])</f>
        <v>45570</v>
      </c>
      <c r="S7" s="22">
        <f>_xlfn.XLOOKUP(TBL_Post_1[[#This Row],[Campaign_Name]],TBL_Campaign_Data_1[Campaign_Name],TBL_Campaign_Data_1[End_Date])</f>
        <v>45601</v>
      </c>
    </row>
    <row r="8" spans="1:19">
      <c r="A8" t="s">
        <v>35</v>
      </c>
      <c r="B8" t="s">
        <v>27</v>
      </c>
      <c r="C8" s="22">
        <v>45469</v>
      </c>
      <c r="D8" t="s">
        <v>16</v>
      </c>
      <c r="E8" t="s">
        <v>17</v>
      </c>
      <c r="F8">
        <v>3557</v>
      </c>
      <c r="G8">
        <v>687</v>
      </c>
      <c r="H8">
        <v>424</v>
      </c>
      <c r="I8">
        <v>71140</v>
      </c>
      <c r="J8">
        <v>70701</v>
      </c>
      <c r="K8">
        <v>224</v>
      </c>
      <c r="L8" t="s">
        <v>38</v>
      </c>
      <c r="M8" s="21">
        <v>6.5617093055945999E-2</v>
      </c>
      <c r="N8" s="21">
        <v>3.1487208321619299E-3</v>
      </c>
      <c r="O8">
        <v>4668</v>
      </c>
      <c r="P8" t="s">
        <v>24</v>
      </c>
      <c r="Q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8" s="22">
        <f>_xlfn.XLOOKUP(TBL_Post_1[[#This Row],[Campaign_Name]],TBL_Campaign_Data_1[Campaign_Name],TBL_Campaign_Data_1[Start_Date])</f>
        <v>45570</v>
      </c>
      <c r="S8" s="22">
        <f>_xlfn.XLOOKUP(TBL_Post_1[[#This Row],[Campaign_Name]],TBL_Campaign_Data_1[Campaign_Name],TBL_Campaign_Data_1[End_Date])</f>
        <v>45601</v>
      </c>
    </row>
    <row r="9" spans="1:19">
      <c r="A9" t="s">
        <v>39</v>
      </c>
      <c r="B9" t="s">
        <v>40</v>
      </c>
      <c r="C9" s="22">
        <v>45596</v>
      </c>
      <c r="D9" t="s">
        <v>42</v>
      </c>
      <c r="E9" t="s">
        <v>43</v>
      </c>
      <c r="F9">
        <v>2945</v>
      </c>
      <c r="G9">
        <v>930</v>
      </c>
      <c r="H9">
        <v>355</v>
      </c>
      <c r="I9">
        <v>23560</v>
      </c>
      <c r="J9">
        <v>23275</v>
      </c>
      <c r="K9">
        <v>256</v>
      </c>
      <c r="L9" t="s">
        <v>25</v>
      </c>
      <c r="M9" s="21">
        <v>0.179541595925297</v>
      </c>
      <c r="N9" s="21">
        <v>1.0865874363327701E-2</v>
      </c>
      <c r="O9">
        <v>4230</v>
      </c>
      <c r="P9" t="s">
        <v>44</v>
      </c>
      <c r="Q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9" s="22">
        <f>_xlfn.XLOOKUP(TBL_Post_1[[#This Row],[Campaign_Name]],TBL_Campaign_Data_1[Campaign_Name],TBL_Campaign_Data_1[Start_Date])</f>
        <v>45453</v>
      </c>
      <c r="S9" s="22">
        <f>_xlfn.XLOOKUP(TBL_Post_1[[#This Row],[Campaign_Name]],TBL_Campaign_Data_1[Campaign_Name],TBL_Campaign_Data_1[End_Date])</f>
        <v>45478</v>
      </c>
    </row>
    <row r="10" spans="1:19">
      <c r="A10" t="s">
        <v>45</v>
      </c>
      <c r="B10" t="s">
        <v>14</v>
      </c>
      <c r="C10" s="22">
        <v>45467</v>
      </c>
      <c r="D10" t="s">
        <v>42</v>
      </c>
      <c r="E10" t="s">
        <v>43</v>
      </c>
      <c r="F10">
        <v>3860</v>
      </c>
      <c r="G10">
        <v>201</v>
      </c>
      <c r="H10">
        <v>279</v>
      </c>
      <c r="I10">
        <v>61760</v>
      </c>
      <c r="J10">
        <v>61660</v>
      </c>
      <c r="K10">
        <v>235</v>
      </c>
      <c r="L10" t="s">
        <v>38</v>
      </c>
      <c r="M10" s="21">
        <v>7.0272020725388601E-2</v>
      </c>
      <c r="N10" s="21">
        <v>3.8050518134715001E-3</v>
      </c>
      <c r="O10">
        <v>4340</v>
      </c>
      <c r="P10" t="s">
        <v>44</v>
      </c>
      <c r="Q1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0" s="22">
        <f>_xlfn.XLOOKUP(TBL_Post_1[[#This Row],[Campaign_Name]],TBL_Campaign_Data_1[Campaign_Name],TBL_Campaign_Data_1[Start_Date])</f>
        <v>45570</v>
      </c>
      <c r="S10" s="22">
        <f>_xlfn.XLOOKUP(TBL_Post_1[[#This Row],[Campaign_Name]],TBL_Campaign_Data_1[Campaign_Name],TBL_Campaign_Data_1[End_Date])</f>
        <v>45601</v>
      </c>
    </row>
    <row r="11" spans="1:19">
      <c r="A11" t="s">
        <v>47</v>
      </c>
      <c r="B11" t="s">
        <v>27</v>
      </c>
      <c r="C11" s="22">
        <v>45486</v>
      </c>
      <c r="D11" t="s">
        <v>49</v>
      </c>
      <c r="E11" t="s">
        <v>50</v>
      </c>
      <c r="F11">
        <v>3929</v>
      </c>
      <c r="G11">
        <v>262</v>
      </c>
      <c r="H11">
        <v>278</v>
      </c>
      <c r="I11">
        <v>43219</v>
      </c>
      <c r="J11">
        <v>42841</v>
      </c>
      <c r="K11">
        <v>39</v>
      </c>
      <c r="L11" t="s">
        <v>38</v>
      </c>
      <c r="M11" s="21">
        <v>0.10340359564080601</v>
      </c>
      <c r="N11" s="21">
        <v>9.0238089729054399E-4</v>
      </c>
      <c r="O11">
        <v>4469</v>
      </c>
      <c r="P11" t="s">
        <v>24</v>
      </c>
      <c r="Q1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1" s="22">
        <f>_xlfn.XLOOKUP(TBL_Post_1[[#This Row],[Campaign_Name]],TBL_Campaign_Data_1[Campaign_Name],TBL_Campaign_Data_1[Start_Date])</f>
        <v>45570</v>
      </c>
      <c r="S11" s="22">
        <f>_xlfn.XLOOKUP(TBL_Post_1[[#This Row],[Campaign_Name]],TBL_Campaign_Data_1[Campaign_Name],TBL_Campaign_Data_1[End_Date])</f>
        <v>45601</v>
      </c>
    </row>
    <row r="12" spans="1:19">
      <c r="A12" t="s">
        <v>47</v>
      </c>
      <c r="B12" t="s">
        <v>27</v>
      </c>
      <c r="C12" s="22">
        <v>45486</v>
      </c>
      <c r="D12" t="s">
        <v>49</v>
      </c>
      <c r="E12" t="s">
        <v>50</v>
      </c>
      <c r="F12">
        <v>3929</v>
      </c>
      <c r="G12">
        <v>262</v>
      </c>
      <c r="H12">
        <v>278</v>
      </c>
      <c r="I12">
        <v>43219</v>
      </c>
      <c r="J12">
        <v>42841</v>
      </c>
      <c r="K12">
        <v>39</v>
      </c>
      <c r="L12" t="s">
        <v>38</v>
      </c>
      <c r="M12" s="21">
        <v>0.10340359564080601</v>
      </c>
      <c r="N12" s="21">
        <v>9.0238089729054399E-4</v>
      </c>
      <c r="O12">
        <v>4469</v>
      </c>
      <c r="P12" t="s">
        <v>18</v>
      </c>
      <c r="Q1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2" s="22">
        <f>_xlfn.XLOOKUP(TBL_Post_1[[#This Row],[Campaign_Name]],TBL_Campaign_Data_1[Campaign_Name],TBL_Campaign_Data_1[Start_Date])</f>
        <v>45570</v>
      </c>
      <c r="S12" s="22">
        <f>_xlfn.XLOOKUP(TBL_Post_1[[#This Row],[Campaign_Name]],TBL_Campaign_Data_1[Campaign_Name],TBL_Campaign_Data_1[End_Date])</f>
        <v>45601</v>
      </c>
    </row>
    <row r="13" spans="1:19">
      <c r="A13" t="s">
        <v>51</v>
      </c>
      <c r="B13" t="s">
        <v>40</v>
      </c>
      <c r="C13" s="22">
        <v>45534</v>
      </c>
      <c r="D13" t="s">
        <v>22</v>
      </c>
      <c r="E13" t="s">
        <v>23</v>
      </c>
      <c r="F13">
        <v>3784</v>
      </c>
      <c r="G13">
        <v>808</v>
      </c>
      <c r="H13">
        <v>404</v>
      </c>
      <c r="I13">
        <v>56760</v>
      </c>
      <c r="J13">
        <v>56343</v>
      </c>
      <c r="K13">
        <v>131</v>
      </c>
      <c r="L13" t="s">
        <v>38</v>
      </c>
      <c r="M13" s="21">
        <v>8.8019732205778703E-2</v>
      </c>
      <c r="N13" s="21">
        <v>2.3079633544749799E-3</v>
      </c>
      <c r="O13">
        <v>4996</v>
      </c>
      <c r="P13" t="s">
        <v>24</v>
      </c>
      <c r="Q1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3" s="22">
        <f>_xlfn.XLOOKUP(TBL_Post_1[[#This Row],[Campaign_Name]],TBL_Campaign_Data_1[Campaign_Name],TBL_Campaign_Data_1[Start_Date])</f>
        <v>45570</v>
      </c>
      <c r="S13" s="22">
        <f>_xlfn.XLOOKUP(TBL_Post_1[[#This Row],[Campaign_Name]],TBL_Campaign_Data_1[Campaign_Name],TBL_Campaign_Data_1[End_Date])</f>
        <v>45601</v>
      </c>
    </row>
    <row r="14" spans="1:19">
      <c r="A14" t="s">
        <v>51</v>
      </c>
      <c r="B14" t="s">
        <v>40</v>
      </c>
      <c r="C14" s="22">
        <v>45534</v>
      </c>
      <c r="D14" t="s">
        <v>22</v>
      </c>
      <c r="E14" t="s">
        <v>23</v>
      </c>
      <c r="F14">
        <v>3784</v>
      </c>
      <c r="G14">
        <v>808</v>
      </c>
      <c r="H14">
        <v>404</v>
      </c>
      <c r="I14">
        <v>56760</v>
      </c>
      <c r="J14">
        <v>56343</v>
      </c>
      <c r="K14">
        <v>131</v>
      </c>
      <c r="L14" t="s">
        <v>38</v>
      </c>
      <c r="M14" s="21">
        <v>8.8019732205778703E-2</v>
      </c>
      <c r="N14" s="21">
        <v>2.3079633544749799E-3</v>
      </c>
      <c r="O14">
        <v>4996</v>
      </c>
      <c r="P14" t="s">
        <v>18</v>
      </c>
      <c r="Q1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4" s="22">
        <f>_xlfn.XLOOKUP(TBL_Post_1[[#This Row],[Campaign_Name]],TBL_Campaign_Data_1[Campaign_Name],TBL_Campaign_Data_1[Start_Date])</f>
        <v>45570</v>
      </c>
      <c r="S14" s="22">
        <f>_xlfn.XLOOKUP(TBL_Post_1[[#This Row],[Campaign_Name]],TBL_Campaign_Data_1[Campaign_Name],TBL_Campaign_Data_1[End_Date])</f>
        <v>45601</v>
      </c>
    </row>
    <row r="15" spans="1:19">
      <c r="A15" t="s">
        <v>53</v>
      </c>
      <c r="B15" t="s">
        <v>40</v>
      </c>
      <c r="C15" s="22">
        <v>45727</v>
      </c>
      <c r="D15" t="s">
        <v>49</v>
      </c>
      <c r="E15" t="s">
        <v>50</v>
      </c>
      <c r="F15">
        <v>4241</v>
      </c>
      <c r="G15">
        <v>902</v>
      </c>
      <c r="H15">
        <v>47</v>
      </c>
      <c r="I15">
        <v>72097</v>
      </c>
      <c r="J15">
        <v>71598</v>
      </c>
      <c r="K15">
        <v>167</v>
      </c>
      <c r="L15" t="s">
        <v>55</v>
      </c>
      <c r="M15" s="21">
        <v>7.1986351720598599E-2</v>
      </c>
      <c r="N15" s="21">
        <v>2.3163238414913201E-3</v>
      </c>
      <c r="O15">
        <v>5190</v>
      </c>
      <c r="P15" t="s">
        <v>44</v>
      </c>
      <c r="Q1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5" s="22">
        <f>_xlfn.XLOOKUP(TBL_Post_1[[#This Row],[Campaign_Name]],TBL_Campaign_Data_1[Campaign_Name],TBL_Campaign_Data_1[Start_Date])</f>
        <v>45667</v>
      </c>
      <c r="S15" s="22">
        <f>_xlfn.XLOOKUP(TBL_Post_1[[#This Row],[Campaign_Name]],TBL_Campaign_Data_1[Campaign_Name],TBL_Campaign_Data_1[End_Date])</f>
        <v>45698</v>
      </c>
    </row>
    <row r="16" spans="1:19">
      <c r="A16" t="s">
        <v>56</v>
      </c>
      <c r="B16" t="s">
        <v>31</v>
      </c>
      <c r="C16" s="22">
        <v>45690</v>
      </c>
      <c r="D16" t="s">
        <v>33</v>
      </c>
      <c r="E16" t="s">
        <v>34</v>
      </c>
      <c r="F16">
        <v>1792</v>
      </c>
      <c r="G16">
        <v>614</v>
      </c>
      <c r="H16">
        <v>497</v>
      </c>
      <c r="I16">
        <v>25088</v>
      </c>
      <c r="J16">
        <v>24675</v>
      </c>
      <c r="K16">
        <v>65</v>
      </c>
      <c r="L16" t="s">
        <v>19</v>
      </c>
      <c r="M16" s="21">
        <v>0.115712691326531</v>
      </c>
      <c r="N16" s="21">
        <v>2.5908801020408201E-3</v>
      </c>
      <c r="O16">
        <v>2903</v>
      </c>
      <c r="P16" t="s">
        <v>58</v>
      </c>
      <c r="Q1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6" s="22">
        <f>_xlfn.XLOOKUP(TBL_Post_1[[#This Row],[Campaign_Name]],TBL_Campaign_Data_1[Campaign_Name],TBL_Campaign_Data_1[Start_Date])</f>
        <v>45505</v>
      </c>
      <c r="S16" s="22">
        <f>_xlfn.XLOOKUP(TBL_Post_1[[#This Row],[Campaign_Name]],TBL_Campaign_Data_1[Campaign_Name],TBL_Campaign_Data_1[End_Date])</f>
        <v>45535</v>
      </c>
    </row>
    <row r="17" spans="1:19">
      <c r="A17" t="s">
        <v>59</v>
      </c>
      <c r="B17" t="s">
        <v>40</v>
      </c>
      <c r="C17" s="22">
        <v>45494</v>
      </c>
      <c r="D17" t="s">
        <v>16</v>
      </c>
      <c r="E17" t="s">
        <v>17</v>
      </c>
      <c r="F17">
        <v>1946</v>
      </c>
      <c r="G17">
        <v>686</v>
      </c>
      <c r="H17">
        <v>377</v>
      </c>
      <c r="I17">
        <v>23352</v>
      </c>
      <c r="J17">
        <v>22982</v>
      </c>
      <c r="K17">
        <v>213</v>
      </c>
      <c r="L17" t="s">
        <v>38</v>
      </c>
      <c r="M17" s="21">
        <v>0.12885405960945501</v>
      </c>
      <c r="N17" s="21">
        <v>9.1212744090441895E-3</v>
      </c>
      <c r="O17">
        <v>3009</v>
      </c>
      <c r="P17" t="s">
        <v>58</v>
      </c>
      <c r="Q1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7" s="22">
        <f>_xlfn.XLOOKUP(TBL_Post_1[[#This Row],[Campaign_Name]],TBL_Campaign_Data_1[Campaign_Name],TBL_Campaign_Data_1[Start_Date])</f>
        <v>45570</v>
      </c>
      <c r="S17" s="22">
        <f>_xlfn.XLOOKUP(TBL_Post_1[[#This Row],[Campaign_Name]],TBL_Campaign_Data_1[Campaign_Name],TBL_Campaign_Data_1[End_Date])</f>
        <v>45601</v>
      </c>
    </row>
    <row r="18" spans="1:19">
      <c r="A18" t="s">
        <v>59</v>
      </c>
      <c r="B18" t="s">
        <v>40</v>
      </c>
      <c r="C18" s="22">
        <v>45494</v>
      </c>
      <c r="D18" t="s">
        <v>16</v>
      </c>
      <c r="E18" t="s">
        <v>17</v>
      </c>
      <c r="F18">
        <v>1946</v>
      </c>
      <c r="G18">
        <v>686</v>
      </c>
      <c r="H18">
        <v>377</v>
      </c>
      <c r="I18">
        <v>23352</v>
      </c>
      <c r="J18">
        <v>22982</v>
      </c>
      <c r="K18">
        <v>213</v>
      </c>
      <c r="L18" t="s">
        <v>38</v>
      </c>
      <c r="M18" s="21">
        <v>0.12885405960945501</v>
      </c>
      <c r="N18" s="21">
        <v>9.1212744090441895E-3</v>
      </c>
      <c r="O18">
        <v>3009</v>
      </c>
      <c r="P18" t="s">
        <v>18</v>
      </c>
      <c r="Q1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8" s="22">
        <f>_xlfn.XLOOKUP(TBL_Post_1[[#This Row],[Campaign_Name]],TBL_Campaign_Data_1[Campaign_Name],TBL_Campaign_Data_1[Start_Date])</f>
        <v>45570</v>
      </c>
      <c r="S18" s="22">
        <f>_xlfn.XLOOKUP(TBL_Post_1[[#This Row],[Campaign_Name]],TBL_Campaign_Data_1[Campaign_Name],TBL_Campaign_Data_1[End_Date])</f>
        <v>45601</v>
      </c>
    </row>
    <row r="19" spans="1:19">
      <c r="A19" t="s">
        <v>62</v>
      </c>
      <c r="B19" t="s">
        <v>27</v>
      </c>
      <c r="C19" s="22">
        <v>45614</v>
      </c>
      <c r="D19" t="s">
        <v>42</v>
      </c>
      <c r="E19" t="s">
        <v>43</v>
      </c>
      <c r="F19">
        <v>1171</v>
      </c>
      <c r="G19">
        <v>286</v>
      </c>
      <c r="H19">
        <v>231</v>
      </c>
      <c r="I19">
        <v>22249</v>
      </c>
      <c r="J19">
        <v>21282</v>
      </c>
      <c r="K19">
        <v>114</v>
      </c>
      <c r="L19" t="s">
        <v>55</v>
      </c>
      <c r="M19" s="21">
        <v>7.5868578363072495E-2</v>
      </c>
      <c r="N19" s="21">
        <v>5.1238257899231402E-3</v>
      </c>
      <c r="O19">
        <v>1688</v>
      </c>
      <c r="P19" t="s">
        <v>24</v>
      </c>
      <c r="Q1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9" s="22">
        <f>_xlfn.XLOOKUP(TBL_Post_1[[#This Row],[Campaign_Name]],TBL_Campaign_Data_1[Campaign_Name],TBL_Campaign_Data_1[Start_Date])</f>
        <v>45667</v>
      </c>
      <c r="S19" s="22">
        <f>_xlfn.XLOOKUP(TBL_Post_1[[#This Row],[Campaign_Name]],TBL_Campaign_Data_1[Campaign_Name],TBL_Campaign_Data_1[End_Date])</f>
        <v>45698</v>
      </c>
    </row>
    <row r="20" spans="1:19">
      <c r="A20" t="s">
        <v>64</v>
      </c>
      <c r="B20" t="s">
        <v>40</v>
      </c>
      <c r="C20" s="22">
        <v>45704</v>
      </c>
      <c r="D20" t="s">
        <v>33</v>
      </c>
      <c r="E20" t="s">
        <v>34</v>
      </c>
      <c r="F20">
        <v>4242</v>
      </c>
      <c r="G20">
        <v>555</v>
      </c>
      <c r="H20">
        <v>131</v>
      </c>
      <c r="I20">
        <v>33936</v>
      </c>
      <c r="J20">
        <v>33802</v>
      </c>
      <c r="K20">
        <v>265</v>
      </c>
      <c r="L20" t="s">
        <v>38</v>
      </c>
      <c r="M20" s="21">
        <v>0.145214521452145</v>
      </c>
      <c r="N20" s="21">
        <v>7.8088165959453101E-3</v>
      </c>
      <c r="O20">
        <v>4928</v>
      </c>
      <c r="P20" t="s">
        <v>18</v>
      </c>
      <c r="Q2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0" s="22">
        <f>_xlfn.XLOOKUP(TBL_Post_1[[#This Row],[Campaign_Name]],TBL_Campaign_Data_1[Campaign_Name],TBL_Campaign_Data_1[Start_Date])</f>
        <v>45570</v>
      </c>
      <c r="S20" s="22">
        <f>_xlfn.XLOOKUP(TBL_Post_1[[#This Row],[Campaign_Name]],TBL_Campaign_Data_1[Campaign_Name],TBL_Campaign_Data_1[End_Date])</f>
        <v>45601</v>
      </c>
    </row>
    <row r="21" spans="1:19">
      <c r="A21" t="s">
        <v>64</v>
      </c>
      <c r="B21" t="s">
        <v>40</v>
      </c>
      <c r="C21" s="22">
        <v>45704</v>
      </c>
      <c r="D21" t="s">
        <v>33</v>
      </c>
      <c r="E21" t="s">
        <v>34</v>
      </c>
      <c r="F21">
        <v>4242</v>
      </c>
      <c r="G21">
        <v>555</v>
      </c>
      <c r="H21">
        <v>131</v>
      </c>
      <c r="I21">
        <v>33936</v>
      </c>
      <c r="J21">
        <v>33802</v>
      </c>
      <c r="K21">
        <v>265</v>
      </c>
      <c r="L21" t="s">
        <v>38</v>
      </c>
      <c r="M21" s="21">
        <v>0.145214521452145</v>
      </c>
      <c r="N21" s="21">
        <v>7.8088165959453101E-3</v>
      </c>
      <c r="O21">
        <v>4928</v>
      </c>
      <c r="P21" t="s">
        <v>24</v>
      </c>
      <c r="Q2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1" s="22">
        <f>_xlfn.XLOOKUP(TBL_Post_1[[#This Row],[Campaign_Name]],TBL_Campaign_Data_1[Campaign_Name],TBL_Campaign_Data_1[Start_Date])</f>
        <v>45570</v>
      </c>
      <c r="S21" s="22">
        <f>_xlfn.XLOOKUP(TBL_Post_1[[#This Row],[Campaign_Name]],TBL_Campaign_Data_1[Campaign_Name],TBL_Campaign_Data_1[End_Date])</f>
        <v>45601</v>
      </c>
    </row>
    <row r="22" spans="1:19">
      <c r="A22" t="s">
        <v>67</v>
      </c>
      <c r="B22" t="s">
        <v>40</v>
      </c>
      <c r="C22" s="22">
        <v>45589</v>
      </c>
      <c r="D22" t="s">
        <v>69</v>
      </c>
      <c r="E22" t="s">
        <v>70</v>
      </c>
      <c r="F22">
        <v>3888</v>
      </c>
      <c r="G22">
        <v>604</v>
      </c>
      <c r="H22">
        <v>128</v>
      </c>
      <c r="I22">
        <v>77760</v>
      </c>
      <c r="J22">
        <v>77167</v>
      </c>
      <c r="K22">
        <v>20</v>
      </c>
      <c r="L22" t="s">
        <v>19</v>
      </c>
      <c r="M22" s="21">
        <v>5.9413580246913601E-2</v>
      </c>
      <c r="N22" s="21">
        <v>2.57201646090535E-4</v>
      </c>
      <c r="O22">
        <v>4620</v>
      </c>
      <c r="P22" t="s">
        <v>24</v>
      </c>
      <c r="Q2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2" s="22">
        <f>_xlfn.XLOOKUP(TBL_Post_1[[#This Row],[Campaign_Name]],TBL_Campaign_Data_1[Campaign_Name],TBL_Campaign_Data_1[Start_Date])</f>
        <v>45505</v>
      </c>
      <c r="S22" s="22">
        <f>_xlfn.XLOOKUP(TBL_Post_1[[#This Row],[Campaign_Name]],TBL_Campaign_Data_1[Campaign_Name],TBL_Campaign_Data_1[End_Date])</f>
        <v>45535</v>
      </c>
    </row>
    <row r="23" spans="1:19">
      <c r="A23" t="s">
        <v>67</v>
      </c>
      <c r="B23" t="s">
        <v>40</v>
      </c>
      <c r="C23" s="22">
        <v>45589</v>
      </c>
      <c r="D23" t="s">
        <v>69</v>
      </c>
      <c r="E23" t="s">
        <v>70</v>
      </c>
      <c r="F23">
        <v>3888</v>
      </c>
      <c r="G23">
        <v>604</v>
      </c>
      <c r="H23">
        <v>128</v>
      </c>
      <c r="I23">
        <v>77760</v>
      </c>
      <c r="J23">
        <v>77167</v>
      </c>
      <c r="K23">
        <v>20</v>
      </c>
      <c r="L23" t="s">
        <v>19</v>
      </c>
      <c r="M23" s="21">
        <v>5.9413580246913601E-2</v>
      </c>
      <c r="N23" s="21">
        <v>2.57201646090535E-4</v>
      </c>
      <c r="O23">
        <v>4620</v>
      </c>
      <c r="P23" t="s">
        <v>77</v>
      </c>
      <c r="Q2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3" s="22">
        <f>_xlfn.XLOOKUP(TBL_Post_1[[#This Row],[Campaign_Name]],TBL_Campaign_Data_1[Campaign_Name],TBL_Campaign_Data_1[Start_Date])</f>
        <v>45505</v>
      </c>
      <c r="S23" s="22">
        <f>_xlfn.XLOOKUP(TBL_Post_1[[#This Row],[Campaign_Name]],TBL_Campaign_Data_1[Campaign_Name],TBL_Campaign_Data_1[End_Date])</f>
        <v>45535</v>
      </c>
    </row>
    <row r="24" spans="1:19">
      <c r="A24" t="s">
        <v>72</v>
      </c>
      <c r="B24" t="s">
        <v>40</v>
      </c>
      <c r="C24" s="22">
        <v>45530</v>
      </c>
      <c r="D24" t="s">
        <v>22</v>
      </c>
      <c r="E24" t="s">
        <v>23</v>
      </c>
      <c r="F24">
        <v>3452</v>
      </c>
      <c r="G24">
        <v>377</v>
      </c>
      <c r="H24">
        <v>360</v>
      </c>
      <c r="I24">
        <v>55232</v>
      </c>
      <c r="J24">
        <v>55075</v>
      </c>
      <c r="K24">
        <v>87</v>
      </c>
      <c r="L24" t="s">
        <v>38</v>
      </c>
      <c r="M24" s="21">
        <v>7.58437137891078E-2</v>
      </c>
      <c r="N24" s="21">
        <v>1.57517381228273E-3</v>
      </c>
      <c r="O24">
        <v>4189</v>
      </c>
      <c r="P24" t="s">
        <v>18</v>
      </c>
      <c r="Q2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4" s="22">
        <f>_xlfn.XLOOKUP(TBL_Post_1[[#This Row],[Campaign_Name]],TBL_Campaign_Data_1[Campaign_Name],TBL_Campaign_Data_1[Start_Date])</f>
        <v>45570</v>
      </c>
      <c r="S24" s="22">
        <f>_xlfn.XLOOKUP(TBL_Post_1[[#This Row],[Campaign_Name]],TBL_Campaign_Data_1[Campaign_Name],TBL_Campaign_Data_1[End_Date])</f>
        <v>45601</v>
      </c>
    </row>
    <row r="25" spans="1:19">
      <c r="A25" t="s">
        <v>72</v>
      </c>
      <c r="B25" t="s">
        <v>40</v>
      </c>
      <c r="C25" s="22">
        <v>45530</v>
      </c>
      <c r="D25" t="s">
        <v>22</v>
      </c>
      <c r="E25" t="s">
        <v>23</v>
      </c>
      <c r="F25">
        <v>3452</v>
      </c>
      <c r="G25">
        <v>377</v>
      </c>
      <c r="H25">
        <v>360</v>
      </c>
      <c r="I25">
        <v>55232</v>
      </c>
      <c r="J25">
        <v>55075</v>
      </c>
      <c r="K25">
        <v>87</v>
      </c>
      <c r="L25" t="s">
        <v>38</v>
      </c>
      <c r="M25" s="21">
        <v>7.58437137891078E-2</v>
      </c>
      <c r="N25" s="21">
        <v>1.57517381228273E-3</v>
      </c>
      <c r="O25">
        <v>4189</v>
      </c>
      <c r="P25" t="s">
        <v>77</v>
      </c>
      <c r="Q2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5" s="22">
        <f>_xlfn.XLOOKUP(TBL_Post_1[[#This Row],[Campaign_Name]],TBL_Campaign_Data_1[Campaign_Name],TBL_Campaign_Data_1[Start_Date])</f>
        <v>45570</v>
      </c>
      <c r="S25" s="22">
        <f>_xlfn.XLOOKUP(TBL_Post_1[[#This Row],[Campaign_Name]],TBL_Campaign_Data_1[Campaign_Name],TBL_Campaign_Data_1[End_Date])</f>
        <v>45601</v>
      </c>
    </row>
    <row r="26" spans="1:19">
      <c r="A26" t="s">
        <v>75</v>
      </c>
      <c r="B26" t="s">
        <v>40</v>
      </c>
      <c r="C26" s="22">
        <v>45782</v>
      </c>
      <c r="D26" t="s">
        <v>22</v>
      </c>
      <c r="E26" t="s">
        <v>23</v>
      </c>
      <c r="F26">
        <v>4441</v>
      </c>
      <c r="G26">
        <v>511</v>
      </c>
      <c r="H26">
        <v>70</v>
      </c>
      <c r="I26">
        <v>53292</v>
      </c>
      <c r="J26">
        <v>53082</v>
      </c>
      <c r="K26">
        <v>159</v>
      </c>
      <c r="L26" t="s">
        <v>38</v>
      </c>
      <c r="M26" s="21">
        <v>9.4235532537716701E-2</v>
      </c>
      <c r="N26" s="21">
        <v>2.98356226075208E-3</v>
      </c>
      <c r="O26">
        <v>5022</v>
      </c>
      <c r="P26" t="s">
        <v>77</v>
      </c>
      <c r="Q2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6" s="22">
        <f>_xlfn.XLOOKUP(TBL_Post_1[[#This Row],[Campaign_Name]],TBL_Campaign_Data_1[Campaign_Name],TBL_Campaign_Data_1[Start_Date])</f>
        <v>45570</v>
      </c>
      <c r="S26" s="22">
        <f>_xlfn.XLOOKUP(TBL_Post_1[[#This Row],[Campaign_Name]],TBL_Campaign_Data_1[Campaign_Name],TBL_Campaign_Data_1[End_Date])</f>
        <v>45601</v>
      </c>
    </row>
    <row r="27" spans="1:19">
      <c r="A27" t="s">
        <v>78</v>
      </c>
      <c r="B27" t="s">
        <v>31</v>
      </c>
      <c r="C27" s="22">
        <v>45523</v>
      </c>
      <c r="D27" t="s">
        <v>16</v>
      </c>
      <c r="E27" t="s">
        <v>17</v>
      </c>
      <c r="F27">
        <v>3000</v>
      </c>
      <c r="G27">
        <v>382</v>
      </c>
      <c r="H27">
        <v>325</v>
      </c>
      <c r="I27">
        <v>36000</v>
      </c>
      <c r="J27">
        <v>35819</v>
      </c>
      <c r="K27">
        <v>19</v>
      </c>
      <c r="L27" t="s">
        <v>25</v>
      </c>
      <c r="M27" s="21">
        <v>0.10297222222222201</v>
      </c>
      <c r="N27" s="21">
        <v>5.2777777777777805E-4</v>
      </c>
      <c r="O27">
        <v>3707</v>
      </c>
      <c r="P27" t="s">
        <v>58</v>
      </c>
      <c r="Q2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7" s="22">
        <f>_xlfn.XLOOKUP(TBL_Post_1[[#This Row],[Campaign_Name]],TBL_Campaign_Data_1[Campaign_Name],TBL_Campaign_Data_1[Start_Date])</f>
        <v>45453</v>
      </c>
      <c r="S27" s="22">
        <f>_xlfn.XLOOKUP(TBL_Post_1[[#This Row],[Campaign_Name]],TBL_Campaign_Data_1[Campaign_Name],TBL_Campaign_Data_1[End_Date])</f>
        <v>45478</v>
      </c>
    </row>
    <row r="28" spans="1:19">
      <c r="A28" t="s">
        <v>80</v>
      </c>
      <c r="B28" t="s">
        <v>31</v>
      </c>
      <c r="C28" s="22">
        <v>45466</v>
      </c>
      <c r="D28" t="s">
        <v>69</v>
      </c>
      <c r="E28" t="s">
        <v>70</v>
      </c>
      <c r="F28">
        <v>1071</v>
      </c>
      <c r="G28">
        <v>519</v>
      </c>
      <c r="H28">
        <v>22</v>
      </c>
      <c r="I28">
        <v>16065</v>
      </c>
      <c r="J28">
        <v>15865</v>
      </c>
      <c r="K28">
        <v>103</v>
      </c>
      <c r="L28" t="s">
        <v>38</v>
      </c>
      <c r="M28" s="21">
        <v>0.100342359165889</v>
      </c>
      <c r="N28" s="21">
        <v>6.4114534702769998E-3</v>
      </c>
      <c r="O28">
        <v>1612</v>
      </c>
      <c r="P28" t="s">
        <v>18</v>
      </c>
      <c r="Q2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8" s="22">
        <f>_xlfn.XLOOKUP(TBL_Post_1[[#This Row],[Campaign_Name]],TBL_Campaign_Data_1[Campaign_Name],TBL_Campaign_Data_1[Start_Date])</f>
        <v>45570</v>
      </c>
      <c r="S28" s="22">
        <f>_xlfn.XLOOKUP(TBL_Post_1[[#This Row],[Campaign_Name]],TBL_Campaign_Data_1[Campaign_Name],TBL_Campaign_Data_1[End_Date])</f>
        <v>45601</v>
      </c>
    </row>
    <row r="29" spans="1:19">
      <c r="A29" t="s">
        <v>80</v>
      </c>
      <c r="B29" t="s">
        <v>31</v>
      </c>
      <c r="C29" s="22">
        <v>45466</v>
      </c>
      <c r="D29" t="s">
        <v>69</v>
      </c>
      <c r="E29" t="s">
        <v>70</v>
      </c>
      <c r="F29">
        <v>1071</v>
      </c>
      <c r="G29">
        <v>519</v>
      </c>
      <c r="H29">
        <v>22</v>
      </c>
      <c r="I29">
        <v>16065</v>
      </c>
      <c r="J29">
        <v>15865</v>
      </c>
      <c r="K29">
        <v>103</v>
      </c>
      <c r="L29" t="s">
        <v>38</v>
      </c>
      <c r="M29" s="21">
        <v>0.100342359165889</v>
      </c>
      <c r="N29" s="21">
        <v>6.4114534702769998E-3</v>
      </c>
      <c r="O29">
        <v>1612</v>
      </c>
      <c r="P29" t="s">
        <v>58</v>
      </c>
      <c r="Q2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9" s="22">
        <f>_xlfn.XLOOKUP(TBL_Post_1[[#This Row],[Campaign_Name]],TBL_Campaign_Data_1[Campaign_Name],TBL_Campaign_Data_1[Start_Date])</f>
        <v>45570</v>
      </c>
      <c r="S29" s="22">
        <f>_xlfn.XLOOKUP(TBL_Post_1[[#This Row],[Campaign_Name]],TBL_Campaign_Data_1[Campaign_Name],TBL_Campaign_Data_1[End_Date])</f>
        <v>45601</v>
      </c>
    </row>
    <row r="30" spans="1:19">
      <c r="A30" t="s">
        <v>83</v>
      </c>
      <c r="B30" t="s">
        <v>31</v>
      </c>
      <c r="C30" s="22">
        <v>45544</v>
      </c>
      <c r="D30" t="s">
        <v>42</v>
      </c>
      <c r="E30" t="s">
        <v>43</v>
      </c>
      <c r="F30">
        <v>4054</v>
      </c>
      <c r="G30">
        <v>488</v>
      </c>
      <c r="H30">
        <v>373</v>
      </c>
      <c r="I30">
        <v>77026</v>
      </c>
      <c r="J30">
        <v>76881</v>
      </c>
      <c r="K30">
        <v>25</v>
      </c>
      <c r="L30" t="s">
        <v>38</v>
      </c>
      <c r="M30" s="21">
        <v>6.3809622724794193E-2</v>
      </c>
      <c r="N30" s="21">
        <v>3.2456573105185303E-4</v>
      </c>
      <c r="O30">
        <v>4915</v>
      </c>
      <c r="P30" t="s">
        <v>24</v>
      </c>
      <c r="Q3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0" s="22">
        <f>_xlfn.XLOOKUP(TBL_Post_1[[#This Row],[Campaign_Name]],TBL_Campaign_Data_1[Campaign_Name],TBL_Campaign_Data_1[Start_Date])</f>
        <v>45570</v>
      </c>
      <c r="S30" s="22">
        <f>_xlfn.XLOOKUP(TBL_Post_1[[#This Row],[Campaign_Name]],TBL_Campaign_Data_1[Campaign_Name],TBL_Campaign_Data_1[End_Date])</f>
        <v>45601</v>
      </c>
    </row>
    <row r="31" spans="1:19">
      <c r="A31" t="s">
        <v>83</v>
      </c>
      <c r="B31" t="s">
        <v>31</v>
      </c>
      <c r="C31" s="22">
        <v>45544</v>
      </c>
      <c r="D31" t="s">
        <v>42</v>
      </c>
      <c r="E31" t="s">
        <v>43</v>
      </c>
      <c r="F31">
        <v>4054</v>
      </c>
      <c r="G31">
        <v>488</v>
      </c>
      <c r="H31">
        <v>373</v>
      </c>
      <c r="I31">
        <v>77026</v>
      </c>
      <c r="J31">
        <v>76881</v>
      </c>
      <c r="K31">
        <v>25</v>
      </c>
      <c r="L31" t="s">
        <v>38</v>
      </c>
      <c r="M31" s="21">
        <v>6.3809622724794193E-2</v>
      </c>
      <c r="N31" s="21">
        <v>3.2456573105185303E-4</v>
      </c>
      <c r="O31">
        <v>4915</v>
      </c>
      <c r="P31" t="s">
        <v>18</v>
      </c>
      <c r="Q3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1" s="22">
        <f>_xlfn.XLOOKUP(TBL_Post_1[[#This Row],[Campaign_Name]],TBL_Campaign_Data_1[Campaign_Name],TBL_Campaign_Data_1[Start_Date])</f>
        <v>45570</v>
      </c>
      <c r="S31" s="22">
        <f>_xlfn.XLOOKUP(TBL_Post_1[[#This Row],[Campaign_Name]],TBL_Campaign_Data_1[Campaign_Name],TBL_Campaign_Data_1[End_Date])</f>
        <v>45601</v>
      </c>
    </row>
    <row r="32" spans="1:19">
      <c r="A32" t="s">
        <v>85</v>
      </c>
      <c r="B32" t="s">
        <v>31</v>
      </c>
      <c r="C32" s="22">
        <v>45661</v>
      </c>
      <c r="D32" t="s">
        <v>16</v>
      </c>
      <c r="E32" t="s">
        <v>17</v>
      </c>
      <c r="F32">
        <v>4838</v>
      </c>
      <c r="G32">
        <v>640</v>
      </c>
      <c r="H32">
        <v>128</v>
      </c>
      <c r="I32">
        <v>72570</v>
      </c>
      <c r="J32">
        <v>72396</v>
      </c>
      <c r="K32">
        <v>83</v>
      </c>
      <c r="L32" t="s">
        <v>38</v>
      </c>
      <c r="M32" s="21">
        <v>7.7249552156538503E-2</v>
      </c>
      <c r="N32" s="21">
        <v>1.1437233016398001E-3</v>
      </c>
      <c r="O32">
        <v>5606</v>
      </c>
      <c r="P32" t="s">
        <v>58</v>
      </c>
      <c r="Q3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2" s="22">
        <f>_xlfn.XLOOKUP(TBL_Post_1[[#This Row],[Campaign_Name]],TBL_Campaign_Data_1[Campaign_Name],TBL_Campaign_Data_1[Start_Date])</f>
        <v>45570</v>
      </c>
      <c r="S32" s="22">
        <f>_xlfn.XLOOKUP(TBL_Post_1[[#This Row],[Campaign_Name]],TBL_Campaign_Data_1[Campaign_Name],TBL_Campaign_Data_1[End_Date])</f>
        <v>45601</v>
      </c>
    </row>
    <row r="33" spans="1:19">
      <c r="A33" t="s">
        <v>85</v>
      </c>
      <c r="B33" t="s">
        <v>31</v>
      </c>
      <c r="C33" s="22">
        <v>45661</v>
      </c>
      <c r="D33" t="s">
        <v>16</v>
      </c>
      <c r="E33" t="s">
        <v>17</v>
      </c>
      <c r="F33">
        <v>4838</v>
      </c>
      <c r="G33">
        <v>640</v>
      </c>
      <c r="H33">
        <v>128</v>
      </c>
      <c r="I33">
        <v>72570</v>
      </c>
      <c r="J33">
        <v>72396</v>
      </c>
      <c r="K33">
        <v>83</v>
      </c>
      <c r="L33" t="s">
        <v>38</v>
      </c>
      <c r="M33" s="21">
        <v>7.7249552156538503E-2</v>
      </c>
      <c r="N33" s="21">
        <v>1.1437233016398001E-3</v>
      </c>
      <c r="O33">
        <v>5606</v>
      </c>
      <c r="P33" t="s">
        <v>44</v>
      </c>
      <c r="Q3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3" s="22">
        <f>_xlfn.XLOOKUP(TBL_Post_1[[#This Row],[Campaign_Name]],TBL_Campaign_Data_1[Campaign_Name],TBL_Campaign_Data_1[Start_Date])</f>
        <v>45570</v>
      </c>
      <c r="S33" s="22">
        <f>_xlfn.XLOOKUP(TBL_Post_1[[#This Row],[Campaign_Name]],TBL_Campaign_Data_1[Campaign_Name],TBL_Campaign_Data_1[End_Date])</f>
        <v>45601</v>
      </c>
    </row>
    <row r="34" spans="1:19">
      <c r="A34" t="s">
        <v>88</v>
      </c>
      <c r="B34" t="s">
        <v>40</v>
      </c>
      <c r="C34" s="22">
        <v>45715</v>
      </c>
      <c r="D34" t="s">
        <v>22</v>
      </c>
      <c r="E34" t="s">
        <v>23</v>
      </c>
      <c r="F34">
        <v>1570</v>
      </c>
      <c r="G34">
        <v>187</v>
      </c>
      <c r="H34">
        <v>260</v>
      </c>
      <c r="I34">
        <v>25120</v>
      </c>
      <c r="J34">
        <v>24613</v>
      </c>
      <c r="K34">
        <v>133</v>
      </c>
      <c r="L34" t="s">
        <v>55</v>
      </c>
      <c r="M34" s="21">
        <v>8.0294585987261205E-2</v>
      </c>
      <c r="N34" s="21">
        <v>5.2945859872611497E-3</v>
      </c>
      <c r="O34">
        <v>2017</v>
      </c>
      <c r="P34" t="s">
        <v>18</v>
      </c>
      <c r="Q3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4" s="22">
        <f>_xlfn.XLOOKUP(TBL_Post_1[[#This Row],[Campaign_Name]],TBL_Campaign_Data_1[Campaign_Name],TBL_Campaign_Data_1[Start_Date])</f>
        <v>45667</v>
      </c>
      <c r="S34" s="22">
        <f>_xlfn.XLOOKUP(TBL_Post_1[[#This Row],[Campaign_Name]],TBL_Campaign_Data_1[Campaign_Name],TBL_Campaign_Data_1[End_Date])</f>
        <v>45698</v>
      </c>
    </row>
    <row r="35" spans="1:19">
      <c r="A35" t="s">
        <v>90</v>
      </c>
      <c r="B35" t="s">
        <v>40</v>
      </c>
      <c r="C35" s="22">
        <v>45602</v>
      </c>
      <c r="D35" t="s">
        <v>69</v>
      </c>
      <c r="E35" t="s">
        <v>70</v>
      </c>
      <c r="F35">
        <v>1606</v>
      </c>
      <c r="G35">
        <v>547</v>
      </c>
      <c r="H35">
        <v>316</v>
      </c>
      <c r="I35">
        <v>32120</v>
      </c>
      <c r="J35">
        <v>31736</v>
      </c>
      <c r="K35">
        <v>225</v>
      </c>
      <c r="L35" t="s">
        <v>38</v>
      </c>
      <c r="M35" s="21">
        <v>7.6867995018679997E-2</v>
      </c>
      <c r="N35" s="21">
        <v>7.00498132004981E-3</v>
      </c>
      <c r="O35">
        <v>2469</v>
      </c>
      <c r="P35" t="s">
        <v>18</v>
      </c>
      <c r="Q3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5" s="22">
        <f>_xlfn.XLOOKUP(TBL_Post_1[[#This Row],[Campaign_Name]],TBL_Campaign_Data_1[Campaign_Name],TBL_Campaign_Data_1[Start_Date])</f>
        <v>45570</v>
      </c>
      <c r="S35" s="22">
        <f>_xlfn.XLOOKUP(TBL_Post_1[[#This Row],[Campaign_Name]],TBL_Campaign_Data_1[Campaign_Name],TBL_Campaign_Data_1[End_Date])</f>
        <v>45601</v>
      </c>
    </row>
    <row r="36" spans="1:19">
      <c r="A36" t="s">
        <v>92</v>
      </c>
      <c r="B36" t="s">
        <v>40</v>
      </c>
      <c r="C36" s="22">
        <v>45680</v>
      </c>
      <c r="D36" t="s">
        <v>69</v>
      </c>
      <c r="E36" t="s">
        <v>70</v>
      </c>
      <c r="F36">
        <v>3961</v>
      </c>
      <c r="G36">
        <v>761</v>
      </c>
      <c r="H36">
        <v>131</v>
      </c>
      <c r="I36">
        <v>67337</v>
      </c>
      <c r="J36">
        <v>66615</v>
      </c>
      <c r="K36">
        <v>161</v>
      </c>
      <c r="L36" t="s">
        <v>25</v>
      </c>
      <c r="M36" s="21">
        <v>7.2070332803659196E-2</v>
      </c>
      <c r="N36" s="21">
        <v>2.3909589081782699E-3</v>
      </c>
      <c r="O36">
        <v>4853</v>
      </c>
      <c r="P36" t="s">
        <v>44</v>
      </c>
      <c r="Q3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6" s="22">
        <f>_xlfn.XLOOKUP(TBL_Post_1[[#This Row],[Campaign_Name]],TBL_Campaign_Data_1[Campaign_Name],TBL_Campaign_Data_1[Start_Date])</f>
        <v>45453</v>
      </c>
      <c r="S36" s="22">
        <f>_xlfn.XLOOKUP(TBL_Post_1[[#This Row],[Campaign_Name]],TBL_Campaign_Data_1[Campaign_Name],TBL_Campaign_Data_1[End_Date])</f>
        <v>45478</v>
      </c>
    </row>
    <row r="37" spans="1:19">
      <c r="A37" t="s">
        <v>94</v>
      </c>
      <c r="B37" t="s">
        <v>14</v>
      </c>
      <c r="C37" s="22">
        <v>45757</v>
      </c>
      <c r="D37" t="s">
        <v>42</v>
      </c>
      <c r="E37" t="s">
        <v>43</v>
      </c>
      <c r="F37">
        <v>3128</v>
      </c>
      <c r="G37">
        <v>211</v>
      </c>
      <c r="H37">
        <v>197</v>
      </c>
      <c r="I37">
        <v>59432</v>
      </c>
      <c r="J37">
        <v>59182</v>
      </c>
      <c r="K37">
        <v>238</v>
      </c>
      <c r="L37" t="s">
        <v>19</v>
      </c>
      <c r="M37" s="21">
        <v>5.9496567505720799E-2</v>
      </c>
      <c r="N37" s="21">
        <v>4.0045766590389E-3</v>
      </c>
      <c r="O37">
        <v>3536</v>
      </c>
      <c r="P37" t="s">
        <v>58</v>
      </c>
      <c r="Q3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7" s="22">
        <f>_xlfn.XLOOKUP(TBL_Post_1[[#This Row],[Campaign_Name]],TBL_Campaign_Data_1[Campaign_Name],TBL_Campaign_Data_1[Start_Date])</f>
        <v>45505</v>
      </c>
      <c r="S37" s="22">
        <f>_xlfn.XLOOKUP(TBL_Post_1[[#This Row],[Campaign_Name]],TBL_Campaign_Data_1[Campaign_Name],TBL_Campaign_Data_1[End_Date])</f>
        <v>45535</v>
      </c>
    </row>
    <row r="38" spans="1:19">
      <c r="A38" t="s">
        <v>94</v>
      </c>
      <c r="B38" t="s">
        <v>14</v>
      </c>
      <c r="C38" s="22">
        <v>45757</v>
      </c>
      <c r="D38" t="s">
        <v>42</v>
      </c>
      <c r="E38" t="s">
        <v>43</v>
      </c>
      <c r="F38">
        <v>3128</v>
      </c>
      <c r="G38">
        <v>211</v>
      </c>
      <c r="H38">
        <v>197</v>
      </c>
      <c r="I38">
        <v>59432</v>
      </c>
      <c r="J38">
        <v>59182</v>
      </c>
      <c r="K38">
        <v>238</v>
      </c>
      <c r="L38" t="s">
        <v>19</v>
      </c>
      <c r="M38" s="21">
        <v>5.9496567505720799E-2</v>
      </c>
      <c r="N38" s="21">
        <v>4.0045766590389E-3</v>
      </c>
      <c r="O38">
        <v>3536</v>
      </c>
      <c r="P38" t="s">
        <v>18</v>
      </c>
      <c r="Q3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8" s="22">
        <f>_xlfn.XLOOKUP(TBL_Post_1[[#This Row],[Campaign_Name]],TBL_Campaign_Data_1[Campaign_Name],TBL_Campaign_Data_1[Start_Date])</f>
        <v>45505</v>
      </c>
      <c r="S38" s="22">
        <f>_xlfn.XLOOKUP(TBL_Post_1[[#This Row],[Campaign_Name]],TBL_Campaign_Data_1[Campaign_Name],TBL_Campaign_Data_1[End_Date])</f>
        <v>45535</v>
      </c>
    </row>
    <row r="39" spans="1:19">
      <c r="A39" t="s">
        <v>96</v>
      </c>
      <c r="B39" t="s">
        <v>27</v>
      </c>
      <c r="C39" s="22">
        <v>45752</v>
      </c>
      <c r="D39" t="s">
        <v>16</v>
      </c>
      <c r="E39" t="s">
        <v>17</v>
      </c>
      <c r="F39">
        <v>3009</v>
      </c>
      <c r="G39">
        <v>413</v>
      </c>
      <c r="H39">
        <v>358</v>
      </c>
      <c r="I39">
        <v>42126</v>
      </c>
      <c r="J39">
        <v>41309</v>
      </c>
      <c r="K39">
        <v>211</v>
      </c>
      <c r="L39" t="s">
        <v>25</v>
      </c>
      <c r="M39" s="21">
        <v>8.9730807577268201E-2</v>
      </c>
      <c r="N39" s="21">
        <v>5.0087831742866599E-3</v>
      </c>
      <c r="O39">
        <v>3780</v>
      </c>
      <c r="P39" t="s">
        <v>18</v>
      </c>
      <c r="Q3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9" s="22">
        <f>_xlfn.XLOOKUP(TBL_Post_1[[#This Row],[Campaign_Name]],TBL_Campaign_Data_1[Campaign_Name],TBL_Campaign_Data_1[Start_Date])</f>
        <v>45453</v>
      </c>
      <c r="S39" s="22">
        <f>_xlfn.XLOOKUP(TBL_Post_1[[#This Row],[Campaign_Name]],TBL_Campaign_Data_1[Campaign_Name],TBL_Campaign_Data_1[End_Date])</f>
        <v>45478</v>
      </c>
    </row>
    <row r="40" spans="1:19">
      <c r="A40" t="s">
        <v>98</v>
      </c>
      <c r="B40" t="s">
        <v>27</v>
      </c>
      <c r="C40" s="22">
        <v>45552</v>
      </c>
      <c r="D40" t="s">
        <v>22</v>
      </c>
      <c r="E40" t="s">
        <v>23</v>
      </c>
      <c r="F40">
        <v>2076</v>
      </c>
      <c r="G40">
        <v>195</v>
      </c>
      <c r="H40">
        <v>104</v>
      </c>
      <c r="I40">
        <v>33216</v>
      </c>
      <c r="J40">
        <v>32244</v>
      </c>
      <c r="K40">
        <v>51</v>
      </c>
      <c r="L40" t="s">
        <v>55</v>
      </c>
      <c r="M40" s="21">
        <v>7.1501685934489398E-2</v>
      </c>
      <c r="N40" s="21">
        <v>1.53540462427746E-3</v>
      </c>
      <c r="O40">
        <v>2375</v>
      </c>
      <c r="P40" t="s">
        <v>44</v>
      </c>
      <c r="Q4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0" s="22">
        <f>_xlfn.XLOOKUP(TBL_Post_1[[#This Row],[Campaign_Name]],TBL_Campaign_Data_1[Campaign_Name],TBL_Campaign_Data_1[Start_Date])</f>
        <v>45667</v>
      </c>
      <c r="S40" s="22">
        <f>_xlfn.XLOOKUP(TBL_Post_1[[#This Row],[Campaign_Name]],TBL_Campaign_Data_1[Campaign_Name],TBL_Campaign_Data_1[End_Date])</f>
        <v>45698</v>
      </c>
    </row>
    <row r="41" spans="1:19">
      <c r="A41" t="s">
        <v>100</v>
      </c>
      <c r="B41" t="s">
        <v>31</v>
      </c>
      <c r="C41" s="22">
        <v>45720</v>
      </c>
      <c r="D41" t="s">
        <v>69</v>
      </c>
      <c r="E41" t="s">
        <v>70</v>
      </c>
      <c r="F41">
        <v>432</v>
      </c>
      <c r="G41">
        <v>624</v>
      </c>
      <c r="H41">
        <v>123</v>
      </c>
      <c r="I41">
        <v>6912</v>
      </c>
      <c r="J41">
        <v>6259</v>
      </c>
      <c r="K41">
        <v>79</v>
      </c>
      <c r="L41" t="s">
        <v>25</v>
      </c>
      <c r="M41" s="21">
        <v>0.17057291666666699</v>
      </c>
      <c r="N41" s="21">
        <v>1.14293981481481E-2</v>
      </c>
      <c r="O41">
        <v>1179</v>
      </c>
      <c r="P41" t="s">
        <v>18</v>
      </c>
      <c r="Q4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1" s="22">
        <f>_xlfn.XLOOKUP(TBL_Post_1[[#This Row],[Campaign_Name]],TBL_Campaign_Data_1[Campaign_Name],TBL_Campaign_Data_1[Start_Date])</f>
        <v>45453</v>
      </c>
      <c r="S41" s="22">
        <f>_xlfn.XLOOKUP(TBL_Post_1[[#This Row],[Campaign_Name]],TBL_Campaign_Data_1[Campaign_Name],TBL_Campaign_Data_1[End_Date])</f>
        <v>45478</v>
      </c>
    </row>
    <row r="42" spans="1:19">
      <c r="A42" t="s">
        <v>100</v>
      </c>
      <c r="B42" t="s">
        <v>31</v>
      </c>
      <c r="C42" s="22">
        <v>45720</v>
      </c>
      <c r="D42" t="s">
        <v>69</v>
      </c>
      <c r="E42" t="s">
        <v>70</v>
      </c>
      <c r="F42">
        <v>432</v>
      </c>
      <c r="G42">
        <v>624</v>
      </c>
      <c r="H42">
        <v>123</v>
      </c>
      <c r="I42">
        <v>6912</v>
      </c>
      <c r="J42">
        <v>6259</v>
      </c>
      <c r="K42">
        <v>79</v>
      </c>
      <c r="L42" t="s">
        <v>25</v>
      </c>
      <c r="M42" s="21">
        <v>0.17057291666666699</v>
      </c>
      <c r="N42" s="21">
        <v>1.14293981481481E-2</v>
      </c>
      <c r="O42">
        <v>1179</v>
      </c>
      <c r="P42" t="s">
        <v>44</v>
      </c>
      <c r="Q4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2" s="22">
        <f>_xlfn.XLOOKUP(TBL_Post_1[[#This Row],[Campaign_Name]],TBL_Campaign_Data_1[Campaign_Name],TBL_Campaign_Data_1[Start_Date])</f>
        <v>45453</v>
      </c>
      <c r="S42" s="22">
        <f>_xlfn.XLOOKUP(TBL_Post_1[[#This Row],[Campaign_Name]],TBL_Campaign_Data_1[Campaign_Name],TBL_Campaign_Data_1[End_Date])</f>
        <v>45478</v>
      </c>
    </row>
    <row r="43" spans="1:19">
      <c r="A43" t="s">
        <v>103</v>
      </c>
      <c r="B43" t="s">
        <v>31</v>
      </c>
      <c r="C43" s="22">
        <v>45688</v>
      </c>
      <c r="D43" t="s">
        <v>42</v>
      </c>
      <c r="E43" t="s">
        <v>43</v>
      </c>
      <c r="F43">
        <v>2566</v>
      </c>
      <c r="G43">
        <v>118</v>
      </c>
      <c r="H43">
        <v>37</v>
      </c>
      <c r="I43">
        <v>12830</v>
      </c>
      <c r="J43">
        <v>12264</v>
      </c>
      <c r="K43">
        <v>221</v>
      </c>
      <c r="L43" t="s">
        <v>38</v>
      </c>
      <c r="M43" s="21">
        <v>0.21208106001558799</v>
      </c>
      <c r="N43" s="21">
        <v>1.7225253312548702E-2</v>
      </c>
      <c r="O43">
        <v>2721</v>
      </c>
      <c r="P43" t="s">
        <v>44</v>
      </c>
      <c r="Q4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3" s="22">
        <f>_xlfn.XLOOKUP(TBL_Post_1[[#This Row],[Campaign_Name]],TBL_Campaign_Data_1[Campaign_Name],TBL_Campaign_Data_1[Start_Date])</f>
        <v>45570</v>
      </c>
      <c r="S43" s="22">
        <f>_xlfn.XLOOKUP(TBL_Post_1[[#This Row],[Campaign_Name]],TBL_Campaign_Data_1[Campaign_Name],TBL_Campaign_Data_1[End_Date])</f>
        <v>45601</v>
      </c>
    </row>
    <row r="44" spans="1:19">
      <c r="A44" t="s">
        <v>103</v>
      </c>
      <c r="B44" t="s">
        <v>31</v>
      </c>
      <c r="C44" s="22">
        <v>45688</v>
      </c>
      <c r="D44" t="s">
        <v>42</v>
      </c>
      <c r="E44" t="s">
        <v>43</v>
      </c>
      <c r="F44">
        <v>2566</v>
      </c>
      <c r="G44">
        <v>118</v>
      </c>
      <c r="H44">
        <v>37</v>
      </c>
      <c r="I44">
        <v>12830</v>
      </c>
      <c r="J44">
        <v>12264</v>
      </c>
      <c r="K44">
        <v>221</v>
      </c>
      <c r="L44" t="s">
        <v>38</v>
      </c>
      <c r="M44" s="21">
        <v>0.21208106001558799</v>
      </c>
      <c r="N44" s="21">
        <v>1.7225253312548702E-2</v>
      </c>
      <c r="O44">
        <v>2721</v>
      </c>
      <c r="P44" t="s">
        <v>24</v>
      </c>
      <c r="Q4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4" s="22">
        <f>_xlfn.XLOOKUP(TBL_Post_1[[#This Row],[Campaign_Name]],TBL_Campaign_Data_1[Campaign_Name],TBL_Campaign_Data_1[Start_Date])</f>
        <v>45570</v>
      </c>
      <c r="S44" s="22">
        <f>_xlfn.XLOOKUP(TBL_Post_1[[#This Row],[Campaign_Name]],TBL_Campaign_Data_1[Campaign_Name],TBL_Campaign_Data_1[End_Date])</f>
        <v>45601</v>
      </c>
    </row>
    <row r="45" spans="1:19">
      <c r="A45" t="s">
        <v>106</v>
      </c>
      <c r="B45" t="s">
        <v>31</v>
      </c>
      <c r="C45" s="22">
        <v>45713</v>
      </c>
      <c r="D45" t="s">
        <v>69</v>
      </c>
      <c r="E45" t="s">
        <v>70</v>
      </c>
      <c r="F45">
        <v>3095</v>
      </c>
      <c r="G45">
        <v>39</v>
      </c>
      <c r="H45">
        <v>78</v>
      </c>
      <c r="I45">
        <v>55710</v>
      </c>
      <c r="J45">
        <v>54808</v>
      </c>
      <c r="K45">
        <v>93</v>
      </c>
      <c r="L45" t="s">
        <v>55</v>
      </c>
      <c r="M45" s="21">
        <v>5.7655717106444099E-2</v>
      </c>
      <c r="N45" s="21">
        <v>1.6693591814755E-3</v>
      </c>
      <c r="O45">
        <v>3212</v>
      </c>
      <c r="P45" t="s">
        <v>18</v>
      </c>
      <c r="Q4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5" s="22">
        <f>_xlfn.XLOOKUP(TBL_Post_1[[#This Row],[Campaign_Name]],TBL_Campaign_Data_1[Campaign_Name],TBL_Campaign_Data_1[Start_Date])</f>
        <v>45667</v>
      </c>
      <c r="S45" s="22">
        <f>_xlfn.XLOOKUP(TBL_Post_1[[#This Row],[Campaign_Name]],TBL_Campaign_Data_1[Campaign_Name],TBL_Campaign_Data_1[End_Date])</f>
        <v>45698</v>
      </c>
    </row>
    <row r="46" spans="1:19">
      <c r="A46" t="s">
        <v>108</v>
      </c>
      <c r="B46" t="s">
        <v>31</v>
      </c>
      <c r="C46" s="22">
        <v>45642</v>
      </c>
      <c r="D46" t="s">
        <v>22</v>
      </c>
      <c r="E46" t="s">
        <v>23</v>
      </c>
      <c r="F46">
        <v>438</v>
      </c>
      <c r="G46">
        <v>153</v>
      </c>
      <c r="H46">
        <v>275</v>
      </c>
      <c r="I46">
        <v>3066</v>
      </c>
      <c r="J46">
        <v>2701</v>
      </c>
      <c r="K46">
        <v>282</v>
      </c>
      <c r="L46" t="s">
        <v>55</v>
      </c>
      <c r="M46" s="21">
        <v>0.28245270711024101</v>
      </c>
      <c r="N46" s="21">
        <v>9.1976516634050903E-2</v>
      </c>
      <c r="O46">
        <v>866</v>
      </c>
      <c r="P46" t="s">
        <v>44</v>
      </c>
      <c r="Q4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6" s="22">
        <f>_xlfn.XLOOKUP(TBL_Post_1[[#This Row],[Campaign_Name]],TBL_Campaign_Data_1[Campaign_Name],TBL_Campaign_Data_1[Start_Date])</f>
        <v>45667</v>
      </c>
      <c r="S46" s="22">
        <f>_xlfn.XLOOKUP(TBL_Post_1[[#This Row],[Campaign_Name]],TBL_Campaign_Data_1[Campaign_Name],TBL_Campaign_Data_1[End_Date])</f>
        <v>45698</v>
      </c>
    </row>
    <row r="47" spans="1:19">
      <c r="A47" t="s">
        <v>110</v>
      </c>
      <c r="B47" t="s">
        <v>14</v>
      </c>
      <c r="C47" s="22">
        <v>45504</v>
      </c>
      <c r="D47" t="s">
        <v>42</v>
      </c>
      <c r="E47" t="s">
        <v>43</v>
      </c>
      <c r="F47">
        <v>2278</v>
      </c>
      <c r="G47">
        <v>10</v>
      </c>
      <c r="H47">
        <v>321</v>
      </c>
      <c r="I47">
        <v>13668</v>
      </c>
      <c r="J47">
        <v>12676</v>
      </c>
      <c r="K47">
        <v>275</v>
      </c>
      <c r="L47" t="s">
        <v>55</v>
      </c>
      <c r="M47" s="21">
        <v>0.190883816213052</v>
      </c>
      <c r="N47" s="21">
        <v>2.0119988293825001E-2</v>
      </c>
      <c r="O47">
        <v>2609</v>
      </c>
      <c r="P47" t="s">
        <v>44</v>
      </c>
      <c r="Q4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7" s="22">
        <f>_xlfn.XLOOKUP(TBL_Post_1[[#This Row],[Campaign_Name]],TBL_Campaign_Data_1[Campaign_Name],TBL_Campaign_Data_1[Start_Date])</f>
        <v>45667</v>
      </c>
      <c r="S47" s="22">
        <f>_xlfn.XLOOKUP(TBL_Post_1[[#This Row],[Campaign_Name]],TBL_Campaign_Data_1[Campaign_Name],TBL_Campaign_Data_1[End_Date])</f>
        <v>45698</v>
      </c>
    </row>
    <row r="48" spans="1:19">
      <c r="A48" t="s">
        <v>110</v>
      </c>
      <c r="B48" t="s">
        <v>14</v>
      </c>
      <c r="C48" s="22">
        <v>45504</v>
      </c>
      <c r="D48" t="s">
        <v>42</v>
      </c>
      <c r="E48" t="s">
        <v>43</v>
      </c>
      <c r="F48">
        <v>2278</v>
      </c>
      <c r="G48">
        <v>10</v>
      </c>
      <c r="H48">
        <v>321</v>
      </c>
      <c r="I48">
        <v>13668</v>
      </c>
      <c r="J48">
        <v>12676</v>
      </c>
      <c r="K48">
        <v>275</v>
      </c>
      <c r="L48" t="s">
        <v>55</v>
      </c>
      <c r="M48" s="21">
        <v>0.190883816213052</v>
      </c>
      <c r="N48" s="21">
        <v>2.0119988293825001E-2</v>
      </c>
      <c r="O48">
        <v>2609</v>
      </c>
      <c r="P48" t="s">
        <v>24</v>
      </c>
      <c r="Q4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8" s="22">
        <f>_xlfn.XLOOKUP(TBL_Post_1[[#This Row],[Campaign_Name]],TBL_Campaign_Data_1[Campaign_Name],TBL_Campaign_Data_1[Start_Date])</f>
        <v>45667</v>
      </c>
      <c r="S48" s="22">
        <f>_xlfn.XLOOKUP(TBL_Post_1[[#This Row],[Campaign_Name]],TBL_Campaign_Data_1[Campaign_Name],TBL_Campaign_Data_1[End_Date])</f>
        <v>45698</v>
      </c>
    </row>
    <row r="49" spans="1:19">
      <c r="A49" t="s">
        <v>112</v>
      </c>
      <c r="B49" t="s">
        <v>40</v>
      </c>
      <c r="C49" s="22">
        <v>45525</v>
      </c>
      <c r="D49" t="s">
        <v>49</v>
      </c>
      <c r="E49" t="s">
        <v>50</v>
      </c>
      <c r="F49">
        <v>1407</v>
      </c>
      <c r="G49">
        <v>400</v>
      </c>
      <c r="H49">
        <v>351</v>
      </c>
      <c r="I49">
        <v>16884</v>
      </c>
      <c r="J49">
        <v>15954</v>
      </c>
      <c r="K49">
        <v>113</v>
      </c>
      <c r="L49" t="s">
        <v>38</v>
      </c>
      <c r="M49" s="21">
        <v>0.12781331438047899</v>
      </c>
      <c r="N49" s="21">
        <v>6.6927268419805699E-3</v>
      </c>
      <c r="O49">
        <v>2158</v>
      </c>
      <c r="P49" t="s">
        <v>24</v>
      </c>
      <c r="Q4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9" s="22">
        <f>_xlfn.XLOOKUP(TBL_Post_1[[#This Row],[Campaign_Name]],TBL_Campaign_Data_1[Campaign_Name],TBL_Campaign_Data_1[Start_Date])</f>
        <v>45570</v>
      </c>
      <c r="S49" s="22">
        <f>_xlfn.XLOOKUP(TBL_Post_1[[#This Row],[Campaign_Name]],TBL_Campaign_Data_1[Campaign_Name],TBL_Campaign_Data_1[End_Date])</f>
        <v>45601</v>
      </c>
    </row>
    <row r="50" spans="1:19">
      <c r="A50" t="s">
        <v>112</v>
      </c>
      <c r="B50" t="s">
        <v>40</v>
      </c>
      <c r="C50" s="22">
        <v>45525</v>
      </c>
      <c r="D50" t="s">
        <v>49</v>
      </c>
      <c r="E50" t="s">
        <v>50</v>
      </c>
      <c r="F50">
        <v>1407</v>
      </c>
      <c r="G50">
        <v>400</v>
      </c>
      <c r="H50">
        <v>351</v>
      </c>
      <c r="I50">
        <v>16884</v>
      </c>
      <c r="J50">
        <v>15954</v>
      </c>
      <c r="K50">
        <v>113</v>
      </c>
      <c r="L50" t="s">
        <v>38</v>
      </c>
      <c r="M50" s="21">
        <v>0.12781331438047899</v>
      </c>
      <c r="N50" s="21">
        <v>6.6927268419805699E-3</v>
      </c>
      <c r="O50">
        <v>2158</v>
      </c>
      <c r="P50" t="s">
        <v>77</v>
      </c>
      <c r="Q5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50" s="22">
        <f>_xlfn.XLOOKUP(TBL_Post_1[[#This Row],[Campaign_Name]],TBL_Campaign_Data_1[Campaign_Name],TBL_Campaign_Data_1[Start_Date])</f>
        <v>45570</v>
      </c>
      <c r="S50" s="22">
        <f>_xlfn.XLOOKUP(TBL_Post_1[[#This Row],[Campaign_Name]],TBL_Campaign_Data_1[Campaign_Name],TBL_Campaign_Data_1[End_Date])</f>
        <v>45601</v>
      </c>
    </row>
    <row r="51" spans="1:19">
      <c r="A51" t="s">
        <v>114</v>
      </c>
      <c r="B51" t="s">
        <v>40</v>
      </c>
      <c r="C51" s="22">
        <v>45742</v>
      </c>
      <c r="D51" t="s">
        <v>22</v>
      </c>
      <c r="E51" t="s">
        <v>23</v>
      </c>
      <c r="F51">
        <v>1652</v>
      </c>
      <c r="G51">
        <v>89</v>
      </c>
      <c r="H51">
        <v>357</v>
      </c>
      <c r="I51">
        <v>29736</v>
      </c>
      <c r="J51">
        <v>28771</v>
      </c>
      <c r="K51">
        <v>215</v>
      </c>
      <c r="L51" t="s">
        <v>25</v>
      </c>
      <c r="M51" s="21">
        <v>7.0554210384718902E-2</v>
      </c>
      <c r="N51" s="21">
        <v>7.2302932472423998E-3</v>
      </c>
      <c r="O51">
        <v>2098</v>
      </c>
      <c r="P51" t="s">
        <v>44</v>
      </c>
      <c r="Q5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51" s="22">
        <f>_xlfn.XLOOKUP(TBL_Post_1[[#This Row],[Campaign_Name]],TBL_Campaign_Data_1[Campaign_Name],TBL_Campaign_Data_1[Start_Date])</f>
        <v>45453</v>
      </c>
      <c r="S51" s="22">
        <f>_xlfn.XLOOKUP(TBL_Post_1[[#This Row],[Campaign_Name]],TBL_Campaign_Data_1[Campaign_Name],TBL_Campaign_Data_1[End_Date])</f>
        <v>45478</v>
      </c>
    </row>
    <row r="52" spans="1:19">
      <c r="A52" t="s">
        <v>114</v>
      </c>
      <c r="B52" t="s">
        <v>40</v>
      </c>
      <c r="C52" s="22">
        <v>45742</v>
      </c>
      <c r="D52" t="s">
        <v>22</v>
      </c>
      <c r="E52" t="s">
        <v>23</v>
      </c>
      <c r="F52">
        <v>1652</v>
      </c>
      <c r="G52">
        <v>89</v>
      </c>
      <c r="H52">
        <v>357</v>
      </c>
      <c r="I52">
        <v>29736</v>
      </c>
      <c r="J52">
        <v>28771</v>
      </c>
      <c r="K52">
        <v>215</v>
      </c>
      <c r="L52" t="s">
        <v>25</v>
      </c>
      <c r="M52" s="21">
        <v>7.0554210384718902E-2</v>
      </c>
      <c r="N52" s="21">
        <v>7.2302932472423998E-3</v>
      </c>
      <c r="O52">
        <v>2098</v>
      </c>
      <c r="P52" t="s">
        <v>77</v>
      </c>
      <c r="Q5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52" s="22">
        <f>_xlfn.XLOOKUP(TBL_Post_1[[#This Row],[Campaign_Name]],TBL_Campaign_Data_1[Campaign_Name],TBL_Campaign_Data_1[Start_Date])</f>
        <v>45453</v>
      </c>
      <c r="S52" s="22">
        <f>_xlfn.XLOOKUP(TBL_Post_1[[#This Row],[Campaign_Name]],TBL_Campaign_Data_1[Campaign_Name],TBL_Campaign_Data_1[End_Date])</f>
        <v>45478</v>
      </c>
    </row>
    <row r="53" spans="1:19">
      <c r="A53" t="s">
        <v>117</v>
      </c>
      <c r="B53" t="s">
        <v>31</v>
      </c>
      <c r="C53" s="22">
        <v>45626</v>
      </c>
      <c r="D53" t="s">
        <v>69</v>
      </c>
      <c r="E53" t="s">
        <v>70</v>
      </c>
      <c r="F53">
        <v>3775</v>
      </c>
      <c r="G53">
        <v>16</v>
      </c>
      <c r="H53">
        <v>239</v>
      </c>
      <c r="I53">
        <v>33975</v>
      </c>
      <c r="J53">
        <v>33310</v>
      </c>
      <c r="K53">
        <v>271</v>
      </c>
      <c r="L53" t="s">
        <v>38</v>
      </c>
      <c r="M53" s="21">
        <v>0.11861662987490799</v>
      </c>
      <c r="N53" s="21">
        <v>7.9764532744665204E-3</v>
      </c>
      <c r="O53">
        <v>4030</v>
      </c>
      <c r="P53" t="s">
        <v>58</v>
      </c>
      <c r="Q5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53" s="22">
        <f>_xlfn.XLOOKUP(TBL_Post_1[[#This Row],[Campaign_Name]],TBL_Campaign_Data_1[Campaign_Name],TBL_Campaign_Data_1[Start_Date])</f>
        <v>45570</v>
      </c>
      <c r="S53" s="22">
        <f>_xlfn.XLOOKUP(TBL_Post_1[[#This Row],[Campaign_Name]],TBL_Campaign_Data_1[Campaign_Name],TBL_Campaign_Data_1[End_Date])</f>
        <v>45601</v>
      </c>
    </row>
    <row r="54" spans="1:19">
      <c r="A54" t="s">
        <v>117</v>
      </c>
      <c r="B54" t="s">
        <v>31</v>
      </c>
      <c r="C54" s="22">
        <v>45626</v>
      </c>
      <c r="D54" t="s">
        <v>69</v>
      </c>
      <c r="E54" t="s">
        <v>70</v>
      </c>
      <c r="F54">
        <v>3775</v>
      </c>
      <c r="G54">
        <v>16</v>
      </c>
      <c r="H54">
        <v>239</v>
      </c>
      <c r="I54">
        <v>33975</v>
      </c>
      <c r="J54">
        <v>33310</v>
      </c>
      <c r="K54">
        <v>271</v>
      </c>
      <c r="L54" t="s">
        <v>38</v>
      </c>
      <c r="M54" s="21">
        <v>0.11861662987490799</v>
      </c>
      <c r="N54" s="21">
        <v>7.9764532744665204E-3</v>
      </c>
      <c r="O54">
        <v>4030</v>
      </c>
      <c r="P54" t="s">
        <v>18</v>
      </c>
      <c r="Q5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54" s="22">
        <f>_xlfn.XLOOKUP(TBL_Post_1[[#This Row],[Campaign_Name]],TBL_Campaign_Data_1[Campaign_Name],TBL_Campaign_Data_1[Start_Date])</f>
        <v>45570</v>
      </c>
      <c r="S54" s="22">
        <f>_xlfn.XLOOKUP(TBL_Post_1[[#This Row],[Campaign_Name]],TBL_Campaign_Data_1[Campaign_Name],TBL_Campaign_Data_1[End_Date])</f>
        <v>45601</v>
      </c>
    </row>
    <row r="55" spans="1:19">
      <c r="A55" t="s">
        <v>119</v>
      </c>
      <c r="B55" t="s">
        <v>31</v>
      </c>
      <c r="C55" s="22">
        <v>45766</v>
      </c>
      <c r="D55" t="s">
        <v>33</v>
      </c>
      <c r="E55" t="s">
        <v>34</v>
      </c>
      <c r="F55">
        <v>4518</v>
      </c>
      <c r="G55">
        <v>285</v>
      </c>
      <c r="H55">
        <v>383</v>
      </c>
      <c r="I55">
        <v>67770</v>
      </c>
      <c r="J55">
        <v>67621</v>
      </c>
      <c r="K55">
        <v>31</v>
      </c>
      <c r="L55" t="s">
        <v>25</v>
      </c>
      <c r="M55" s="21">
        <v>7.6523535487678901E-2</v>
      </c>
      <c r="N55" s="21">
        <v>4.5742954109487998E-4</v>
      </c>
      <c r="O55">
        <v>5186</v>
      </c>
      <c r="P55" t="s">
        <v>77</v>
      </c>
      <c r="Q5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55" s="22">
        <f>_xlfn.XLOOKUP(TBL_Post_1[[#This Row],[Campaign_Name]],TBL_Campaign_Data_1[Campaign_Name],TBL_Campaign_Data_1[Start_Date])</f>
        <v>45453</v>
      </c>
      <c r="S55" s="22">
        <f>_xlfn.XLOOKUP(TBL_Post_1[[#This Row],[Campaign_Name]],TBL_Campaign_Data_1[Campaign_Name],TBL_Campaign_Data_1[End_Date])</f>
        <v>45478</v>
      </c>
    </row>
    <row r="56" spans="1:19">
      <c r="A56" t="s">
        <v>121</v>
      </c>
      <c r="B56" t="s">
        <v>40</v>
      </c>
      <c r="C56" s="22">
        <v>45663</v>
      </c>
      <c r="D56" t="s">
        <v>42</v>
      </c>
      <c r="E56" t="s">
        <v>43</v>
      </c>
      <c r="F56">
        <v>3024</v>
      </c>
      <c r="G56">
        <v>925</v>
      </c>
      <c r="H56">
        <v>350</v>
      </c>
      <c r="I56">
        <v>24192</v>
      </c>
      <c r="J56">
        <v>23518</v>
      </c>
      <c r="K56">
        <v>36</v>
      </c>
      <c r="L56" t="s">
        <v>38</v>
      </c>
      <c r="M56" s="21">
        <v>0.177703373015873</v>
      </c>
      <c r="N56" s="21">
        <v>1.48809523809524E-3</v>
      </c>
      <c r="O56">
        <v>4299</v>
      </c>
      <c r="P56" t="s">
        <v>18</v>
      </c>
      <c r="Q5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56" s="22">
        <f>_xlfn.XLOOKUP(TBL_Post_1[[#This Row],[Campaign_Name]],TBL_Campaign_Data_1[Campaign_Name],TBL_Campaign_Data_1[Start_Date])</f>
        <v>45570</v>
      </c>
      <c r="S56" s="22">
        <f>_xlfn.XLOOKUP(TBL_Post_1[[#This Row],[Campaign_Name]],TBL_Campaign_Data_1[Campaign_Name],TBL_Campaign_Data_1[End_Date])</f>
        <v>45601</v>
      </c>
    </row>
    <row r="57" spans="1:19">
      <c r="A57" t="s">
        <v>123</v>
      </c>
      <c r="B57" t="s">
        <v>27</v>
      </c>
      <c r="C57" s="22">
        <v>45705</v>
      </c>
      <c r="D57" t="s">
        <v>16</v>
      </c>
      <c r="E57" t="s">
        <v>17</v>
      </c>
      <c r="F57">
        <v>3138</v>
      </c>
      <c r="G57">
        <v>123</v>
      </c>
      <c r="H57">
        <v>291</v>
      </c>
      <c r="I57">
        <v>28242</v>
      </c>
      <c r="J57">
        <v>27550</v>
      </c>
      <c r="K57">
        <v>87</v>
      </c>
      <c r="L57" t="s">
        <v>55</v>
      </c>
      <c r="M57" s="21">
        <v>0.12577012959422099</v>
      </c>
      <c r="N57" s="21">
        <v>3.0805183768854898E-3</v>
      </c>
      <c r="O57">
        <v>3552</v>
      </c>
      <c r="P57" t="s">
        <v>77</v>
      </c>
      <c r="Q5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57" s="22">
        <f>_xlfn.XLOOKUP(TBL_Post_1[[#This Row],[Campaign_Name]],TBL_Campaign_Data_1[Campaign_Name],TBL_Campaign_Data_1[Start_Date])</f>
        <v>45667</v>
      </c>
      <c r="S57" s="22">
        <f>_xlfn.XLOOKUP(TBL_Post_1[[#This Row],[Campaign_Name]],TBL_Campaign_Data_1[Campaign_Name],TBL_Campaign_Data_1[End_Date])</f>
        <v>45698</v>
      </c>
    </row>
    <row r="58" spans="1:19">
      <c r="A58" t="s">
        <v>125</v>
      </c>
      <c r="B58" t="s">
        <v>40</v>
      </c>
      <c r="C58" s="22">
        <v>45621</v>
      </c>
      <c r="D58" t="s">
        <v>49</v>
      </c>
      <c r="E58" t="s">
        <v>50</v>
      </c>
      <c r="F58">
        <v>3564</v>
      </c>
      <c r="G58">
        <v>629</v>
      </c>
      <c r="H58">
        <v>177</v>
      </c>
      <c r="I58">
        <v>60588</v>
      </c>
      <c r="J58">
        <v>59627</v>
      </c>
      <c r="K58">
        <v>92</v>
      </c>
      <c r="L58" t="s">
        <v>38</v>
      </c>
      <c r="M58" s="21">
        <v>7.2126493695121099E-2</v>
      </c>
      <c r="N58" s="21">
        <v>1.51845249884466E-3</v>
      </c>
      <c r="O58">
        <v>4370</v>
      </c>
      <c r="P58" t="s">
        <v>77</v>
      </c>
      <c r="Q5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58" s="22">
        <f>_xlfn.XLOOKUP(TBL_Post_1[[#This Row],[Campaign_Name]],TBL_Campaign_Data_1[Campaign_Name],TBL_Campaign_Data_1[Start_Date])</f>
        <v>45570</v>
      </c>
      <c r="S58" s="22">
        <f>_xlfn.XLOOKUP(TBL_Post_1[[#This Row],[Campaign_Name]],TBL_Campaign_Data_1[Campaign_Name],TBL_Campaign_Data_1[End_Date])</f>
        <v>45601</v>
      </c>
    </row>
    <row r="59" spans="1:19">
      <c r="A59" t="s">
        <v>125</v>
      </c>
      <c r="B59" t="s">
        <v>40</v>
      </c>
      <c r="C59" s="22">
        <v>45621</v>
      </c>
      <c r="D59" t="s">
        <v>49</v>
      </c>
      <c r="E59" t="s">
        <v>50</v>
      </c>
      <c r="F59">
        <v>3564</v>
      </c>
      <c r="G59">
        <v>629</v>
      </c>
      <c r="H59">
        <v>177</v>
      </c>
      <c r="I59">
        <v>60588</v>
      </c>
      <c r="J59">
        <v>59627</v>
      </c>
      <c r="K59">
        <v>92</v>
      </c>
      <c r="L59" t="s">
        <v>38</v>
      </c>
      <c r="M59" s="21">
        <v>7.2126493695121099E-2</v>
      </c>
      <c r="N59" s="21">
        <v>1.51845249884466E-3</v>
      </c>
      <c r="O59">
        <v>4370</v>
      </c>
      <c r="P59" t="s">
        <v>18</v>
      </c>
      <c r="Q5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59" s="22">
        <f>_xlfn.XLOOKUP(TBL_Post_1[[#This Row],[Campaign_Name]],TBL_Campaign_Data_1[Campaign_Name],TBL_Campaign_Data_1[Start_Date])</f>
        <v>45570</v>
      </c>
      <c r="S59" s="22">
        <f>_xlfn.XLOOKUP(TBL_Post_1[[#This Row],[Campaign_Name]],TBL_Campaign_Data_1[Campaign_Name],TBL_Campaign_Data_1[End_Date])</f>
        <v>45601</v>
      </c>
    </row>
    <row r="60" spans="1:19">
      <c r="A60" t="s">
        <v>128</v>
      </c>
      <c r="B60" t="s">
        <v>14</v>
      </c>
      <c r="C60" s="22">
        <v>45723</v>
      </c>
      <c r="D60" t="s">
        <v>49</v>
      </c>
      <c r="E60" t="s">
        <v>50</v>
      </c>
      <c r="F60">
        <v>4750</v>
      </c>
      <c r="G60">
        <v>151</v>
      </c>
      <c r="H60">
        <v>415</v>
      </c>
      <c r="I60">
        <v>38000</v>
      </c>
      <c r="J60">
        <v>37792</v>
      </c>
      <c r="K60">
        <v>299</v>
      </c>
      <c r="L60" t="s">
        <v>25</v>
      </c>
      <c r="M60" s="21">
        <v>0.13989473684210499</v>
      </c>
      <c r="N60" s="21">
        <v>7.8684210526315801E-3</v>
      </c>
      <c r="O60">
        <v>5316</v>
      </c>
      <c r="P60" t="s">
        <v>58</v>
      </c>
      <c r="Q6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60" s="22">
        <f>_xlfn.XLOOKUP(TBL_Post_1[[#This Row],[Campaign_Name]],TBL_Campaign_Data_1[Campaign_Name],TBL_Campaign_Data_1[Start_Date])</f>
        <v>45453</v>
      </c>
      <c r="S60" s="22">
        <f>_xlfn.XLOOKUP(TBL_Post_1[[#This Row],[Campaign_Name]],TBL_Campaign_Data_1[Campaign_Name],TBL_Campaign_Data_1[End_Date])</f>
        <v>45478</v>
      </c>
    </row>
    <row r="61" spans="1:19">
      <c r="A61" t="s">
        <v>128</v>
      </c>
      <c r="B61" t="s">
        <v>14</v>
      </c>
      <c r="C61" s="22">
        <v>45723</v>
      </c>
      <c r="D61" t="s">
        <v>49</v>
      </c>
      <c r="E61" t="s">
        <v>50</v>
      </c>
      <c r="F61">
        <v>4750</v>
      </c>
      <c r="G61">
        <v>151</v>
      </c>
      <c r="H61">
        <v>415</v>
      </c>
      <c r="I61">
        <v>38000</v>
      </c>
      <c r="J61">
        <v>37792</v>
      </c>
      <c r="K61">
        <v>299</v>
      </c>
      <c r="L61" t="s">
        <v>25</v>
      </c>
      <c r="M61" s="21">
        <v>0.13989473684210499</v>
      </c>
      <c r="N61" s="21">
        <v>7.8684210526315801E-3</v>
      </c>
      <c r="O61">
        <v>5316</v>
      </c>
      <c r="P61" t="s">
        <v>18</v>
      </c>
      <c r="Q6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61" s="22">
        <f>_xlfn.XLOOKUP(TBL_Post_1[[#This Row],[Campaign_Name]],TBL_Campaign_Data_1[Campaign_Name],TBL_Campaign_Data_1[Start_Date])</f>
        <v>45453</v>
      </c>
      <c r="S61" s="22">
        <f>_xlfn.XLOOKUP(TBL_Post_1[[#This Row],[Campaign_Name]],TBL_Campaign_Data_1[Campaign_Name],TBL_Campaign_Data_1[End_Date])</f>
        <v>45478</v>
      </c>
    </row>
    <row r="62" spans="1:19">
      <c r="A62" t="s">
        <v>130</v>
      </c>
      <c r="B62" t="s">
        <v>31</v>
      </c>
      <c r="C62" s="22">
        <v>45724</v>
      </c>
      <c r="D62" t="s">
        <v>16</v>
      </c>
      <c r="E62" t="s">
        <v>17</v>
      </c>
      <c r="F62">
        <v>456</v>
      </c>
      <c r="G62">
        <v>629</v>
      </c>
      <c r="H62">
        <v>428</v>
      </c>
      <c r="I62">
        <v>8208</v>
      </c>
      <c r="J62">
        <v>7377</v>
      </c>
      <c r="K62">
        <v>205</v>
      </c>
      <c r="L62" t="s">
        <v>38</v>
      </c>
      <c r="M62" s="21">
        <v>0.18433235867446399</v>
      </c>
      <c r="N62" s="21">
        <v>2.4975633528265099E-2</v>
      </c>
      <c r="O62">
        <v>1513</v>
      </c>
      <c r="P62" t="s">
        <v>18</v>
      </c>
      <c r="Q6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62" s="22">
        <f>_xlfn.XLOOKUP(TBL_Post_1[[#This Row],[Campaign_Name]],TBL_Campaign_Data_1[Campaign_Name],TBL_Campaign_Data_1[Start_Date])</f>
        <v>45570</v>
      </c>
      <c r="S62" s="22">
        <f>_xlfn.XLOOKUP(TBL_Post_1[[#This Row],[Campaign_Name]],TBL_Campaign_Data_1[Campaign_Name],TBL_Campaign_Data_1[End_Date])</f>
        <v>45601</v>
      </c>
    </row>
    <row r="63" spans="1:19">
      <c r="A63" t="s">
        <v>130</v>
      </c>
      <c r="B63" t="s">
        <v>31</v>
      </c>
      <c r="C63" s="22">
        <v>45724</v>
      </c>
      <c r="D63" t="s">
        <v>16</v>
      </c>
      <c r="E63" t="s">
        <v>17</v>
      </c>
      <c r="F63">
        <v>456</v>
      </c>
      <c r="G63">
        <v>629</v>
      </c>
      <c r="H63">
        <v>428</v>
      </c>
      <c r="I63">
        <v>8208</v>
      </c>
      <c r="J63">
        <v>7377</v>
      </c>
      <c r="K63">
        <v>205</v>
      </c>
      <c r="L63" t="s">
        <v>38</v>
      </c>
      <c r="M63" s="21">
        <v>0.18433235867446399</v>
      </c>
      <c r="N63" s="21">
        <v>2.4975633528265099E-2</v>
      </c>
      <c r="O63">
        <v>1513</v>
      </c>
      <c r="P63" t="s">
        <v>77</v>
      </c>
      <c r="Q6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63" s="22">
        <f>_xlfn.XLOOKUP(TBL_Post_1[[#This Row],[Campaign_Name]],TBL_Campaign_Data_1[Campaign_Name],TBL_Campaign_Data_1[Start_Date])</f>
        <v>45570</v>
      </c>
      <c r="S63" s="22">
        <f>_xlfn.XLOOKUP(TBL_Post_1[[#This Row],[Campaign_Name]],TBL_Campaign_Data_1[Campaign_Name],TBL_Campaign_Data_1[End_Date])</f>
        <v>45601</v>
      </c>
    </row>
    <row r="64" spans="1:19">
      <c r="A64" t="s">
        <v>132</v>
      </c>
      <c r="B64" t="s">
        <v>27</v>
      </c>
      <c r="C64" s="22">
        <v>45721</v>
      </c>
      <c r="D64" t="s">
        <v>16</v>
      </c>
      <c r="E64" t="s">
        <v>17</v>
      </c>
      <c r="F64">
        <v>1543</v>
      </c>
      <c r="G64">
        <v>820</v>
      </c>
      <c r="H64">
        <v>333</v>
      </c>
      <c r="I64">
        <v>12344</v>
      </c>
      <c r="J64">
        <v>11496</v>
      </c>
      <c r="K64">
        <v>241</v>
      </c>
      <c r="L64" t="s">
        <v>38</v>
      </c>
      <c r="M64" s="21">
        <v>0.21840570317563199</v>
      </c>
      <c r="N64" s="21">
        <v>1.9523655217109501E-2</v>
      </c>
      <c r="O64">
        <v>2696</v>
      </c>
      <c r="P64" t="s">
        <v>58</v>
      </c>
      <c r="Q6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64" s="22">
        <f>_xlfn.XLOOKUP(TBL_Post_1[[#This Row],[Campaign_Name]],TBL_Campaign_Data_1[Campaign_Name],TBL_Campaign_Data_1[Start_Date])</f>
        <v>45570</v>
      </c>
      <c r="S64" s="22">
        <f>_xlfn.XLOOKUP(TBL_Post_1[[#This Row],[Campaign_Name]],TBL_Campaign_Data_1[Campaign_Name],TBL_Campaign_Data_1[End_Date])</f>
        <v>45601</v>
      </c>
    </row>
    <row r="65" spans="1:19">
      <c r="A65" t="s">
        <v>134</v>
      </c>
      <c r="B65" t="s">
        <v>31</v>
      </c>
      <c r="C65" s="22">
        <v>45640</v>
      </c>
      <c r="D65" t="s">
        <v>42</v>
      </c>
      <c r="E65" t="s">
        <v>43</v>
      </c>
      <c r="F65">
        <v>2174</v>
      </c>
      <c r="G65">
        <v>658</v>
      </c>
      <c r="H65">
        <v>15</v>
      </c>
      <c r="I65">
        <v>13044</v>
      </c>
      <c r="J65">
        <v>12206</v>
      </c>
      <c r="K65">
        <v>137</v>
      </c>
      <c r="L65" t="s">
        <v>55</v>
      </c>
      <c r="M65" s="21">
        <v>0.21826126954921801</v>
      </c>
      <c r="N65" s="21">
        <v>1.05029132168047E-2</v>
      </c>
      <c r="O65">
        <v>2847</v>
      </c>
      <c r="P65" t="s">
        <v>18</v>
      </c>
      <c r="Q6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65" s="22">
        <f>_xlfn.XLOOKUP(TBL_Post_1[[#This Row],[Campaign_Name]],TBL_Campaign_Data_1[Campaign_Name],TBL_Campaign_Data_1[Start_Date])</f>
        <v>45667</v>
      </c>
      <c r="S65" s="22">
        <f>_xlfn.XLOOKUP(TBL_Post_1[[#This Row],[Campaign_Name]],TBL_Campaign_Data_1[Campaign_Name],TBL_Campaign_Data_1[End_Date])</f>
        <v>45698</v>
      </c>
    </row>
    <row r="66" spans="1:19">
      <c r="A66" t="s">
        <v>134</v>
      </c>
      <c r="B66" t="s">
        <v>31</v>
      </c>
      <c r="C66" s="22">
        <v>45640</v>
      </c>
      <c r="D66" t="s">
        <v>42</v>
      </c>
      <c r="E66" t="s">
        <v>43</v>
      </c>
      <c r="F66">
        <v>2174</v>
      </c>
      <c r="G66">
        <v>658</v>
      </c>
      <c r="H66">
        <v>15</v>
      </c>
      <c r="I66">
        <v>13044</v>
      </c>
      <c r="J66">
        <v>12206</v>
      </c>
      <c r="K66">
        <v>137</v>
      </c>
      <c r="L66" t="s">
        <v>55</v>
      </c>
      <c r="M66" s="21">
        <v>0.21826126954921801</v>
      </c>
      <c r="N66" s="21">
        <v>1.05029132168047E-2</v>
      </c>
      <c r="O66">
        <v>2847</v>
      </c>
      <c r="P66" t="s">
        <v>24</v>
      </c>
      <c r="Q6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66" s="22">
        <f>_xlfn.XLOOKUP(TBL_Post_1[[#This Row],[Campaign_Name]],TBL_Campaign_Data_1[Campaign_Name],TBL_Campaign_Data_1[Start_Date])</f>
        <v>45667</v>
      </c>
      <c r="S66" s="22">
        <f>_xlfn.XLOOKUP(TBL_Post_1[[#This Row],[Campaign_Name]],TBL_Campaign_Data_1[Campaign_Name],TBL_Campaign_Data_1[End_Date])</f>
        <v>45698</v>
      </c>
    </row>
    <row r="67" spans="1:19">
      <c r="A67" t="s">
        <v>136</v>
      </c>
      <c r="B67" t="s">
        <v>14</v>
      </c>
      <c r="C67" s="22">
        <v>45718</v>
      </c>
      <c r="D67" t="s">
        <v>49</v>
      </c>
      <c r="E67" t="s">
        <v>50</v>
      </c>
      <c r="F67">
        <v>2358</v>
      </c>
      <c r="G67">
        <v>784</v>
      </c>
      <c r="H67">
        <v>344</v>
      </c>
      <c r="I67">
        <v>35370</v>
      </c>
      <c r="J67">
        <v>34475</v>
      </c>
      <c r="K67">
        <v>216</v>
      </c>
      <c r="L67" t="s">
        <v>19</v>
      </c>
      <c r="M67" s="21">
        <v>9.8558100084817593E-2</v>
      </c>
      <c r="N67" s="21">
        <v>6.1068702290076301E-3</v>
      </c>
      <c r="O67">
        <v>3486</v>
      </c>
      <c r="P67" t="s">
        <v>18</v>
      </c>
      <c r="Q6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67" s="22">
        <f>_xlfn.XLOOKUP(TBL_Post_1[[#This Row],[Campaign_Name]],TBL_Campaign_Data_1[Campaign_Name],TBL_Campaign_Data_1[Start_Date])</f>
        <v>45505</v>
      </c>
      <c r="S67" s="22">
        <f>_xlfn.XLOOKUP(TBL_Post_1[[#This Row],[Campaign_Name]],TBL_Campaign_Data_1[Campaign_Name],TBL_Campaign_Data_1[End_Date])</f>
        <v>45535</v>
      </c>
    </row>
    <row r="68" spans="1:19">
      <c r="A68" t="s">
        <v>136</v>
      </c>
      <c r="B68" t="s">
        <v>14</v>
      </c>
      <c r="C68" s="22">
        <v>45718</v>
      </c>
      <c r="D68" t="s">
        <v>49</v>
      </c>
      <c r="E68" t="s">
        <v>50</v>
      </c>
      <c r="F68">
        <v>2358</v>
      </c>
      <c r="G68">
        <v>784</v>
      </c>
      <c r="H68">
        <v>344</v>
      </c>
      <c r="I68">
        <v>35370</v>
      </c>
      <c r="J68">
        <v>34475</v>
      </c>
      <c r="K68">
        <v>216</v>
      </c>
      <c r="L68" t="s">
        <v>19</v>
      </c>
      <c r="M68" s="21">
        <v>9.8558100084817593E-2</v>
      </c>
      <c r="N68" s="21">
        <v>6.1068702290076301E-3</v>
      </c>
      <c r="O68">
        <v>3486</v>
      </c>
      <c r="P68" t="s">
        <v>58</v>
      </c>
      <c r="Q6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68" s="22">
        <f>_xlfn.XLOOKUP(TBL_Post_1[[#This Row],[Campaign_Name]],TBL_Campaign_Data_1[Campaign_Name],TBL_Campaign_Data_1[Start_Date])</f>
        <v>45505</v>
      </c>
      <c r="S68" s="22">
        <f>_xlfn.XLOOKUP(TBL_Post_1[[#This Row],[Campaign_Name]],TBL_Campaign_Data_1[Campaign_Name],TBL_Campaign_Data_1[End_Date])</f>
        <v>45535</v>
      </c>
    </row>
    <row r="69" spans="1:19">
      <c r="A69" t="s">
        <v>138</v>
      </c>
      <c r="B69" t="s">
        <v>40</v>
      </c>
      <c r="C69" s="22">
        <v>45597</v>
      </c>
      <c r="D69" t="s">
        <v>69</v>
      </c>
      <c r="E69" t="s">
        <v>70</v>
      </c>
      <c r="F69">
        <v>3371</v>
      </c>
      <c r="G69">
        <v>106</v>
      </c>
      <c r="H69">
        <v>327</v>
      </c>
      <c r="I69">
        <v>50565</v>
      </c>
      <c r="J69">
        <v>49816</v>
      </c>
      <c r="K69">
        <v>176</v>
      </c>
      <c r="L69" t="s">
        <v>55</v>
      </c>
      <c r="M69" s="21">
        <v>7.5229902106199897E-2</v>
      </c>
      <c r="N69" s="21">
        <v>3.4806684465539398E-3</v>
      </c>
      <c r="O69">
        <v>3804</v>
      </c>
      <c r="P69" t="s">
        <v>77</v>
      </c>
      <c r="Q6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69" s="22">
        <f>_xlfn.XLOOKUP(TBL_Post_1[[#This Row],[Campaign_Name]],TBL_Campaign_Data_1[Campaign_Name],TBL_Campaign_Data_1[Start_Date])</f>
        <v>45667</v>
      </c>
      <c r="S69" s="22">
        <f>_xlfn.XLOOKUP(TBL_Post_1[[#This Row],[Campaign_Name]],TBL_Campaign_Data_1[Campaign_Name],TBL_Campaign_Data_1[End_Date])</f>
        <v>45698</v>
      </c>
    </row>
    <row r="70" spans="1:19">
      <c r="A70" t="s">
        <v>140</v>
      </c>
      <c r="B70" t="s">
        <v>14</v>
      </c>
      <c r="C70" s="22">
        <v>45779</v>
      </c>
      <c r="D70" t="s">
        <v>69</v>
      </c>
      <c r="E70" t="s">
        <v>70</v>
      </c>
      <c r="F70">
        <v>1108</v>
      </c>
      <c r="G70">
        <v>177</v>
      </c>
      <c r="H70">
        <v>212</v>
      </c>
      <c r="I70">
        <v>8864</v>
      </c>
      <c r="J70">
        <v>8710</v>
      </c>
      <c r="K70">
        <v>97</v>
      </c>
      <c r="L70" t="s">
        <v>55</v>
      </c>
      <c r="M70" s="21">
        <v>0.16888537906137199</v>
      </c>
      <c r="N70" s="21">
        <v>1.09431407942238E-2</v>
      </c>
      <c r="O70">
        <v>1497</v>
      </c>
      <c r="P70" t="s">
        <v>24</v>
      </c>
      <c r="Q7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70" s="22">
        <f>_xlfn.XLOOKUP(TBL_Post_1[[#This Row],[Campaign_Name]],TBL_Campaign_Data_1[Campaign_Name],TBL_Campaign_Data_1[Start_Date])</f>
        <v>45667</v>
      </c>
      <c r="S70" s="22">
        <f>_xlfn.XLOOKUP(TBL_Post_1[[#This Row],[Campaign_Name]],TBL_Campaign_Data_1[Campaign_Name],TBL_Campaign_Data_1[End_Date])</f>
        <v>45698</v>
      </c>
    </row>
    <row r="71" spans="1:19">
      <c r="A71" t="s">
        <v>142</v>
      </c>
      <c r="B71" t="s">
        <v>14</v>
      </c>
      <c r="C71" s="22">
        <v>45712</v>
      </c>
      <c r="D71" t="s">
        <v>42</v>
      </c>
      <c r="E71" t="s">
        <v>43</v>
      </c>
      <c r="F71">
        <v>2704</v>
      </c>
      <c r="G71">
        <v>752</v>
      </c>
      <c r="H71">
        <v>153</v>
      </c>
      <c r="I71">
        <v>21632</v>
      </c>
      <c r="J71">
        <v>20792</v>
      </c>
      <c r="K71">
        <v>127</v>
      </c>
      <c r="L71" t="s">
        <v>19</v>
      </c>
      <c r="M71" s="21">
        <v>0.16683616863905301</v>
      </c>
      <c r="N71" s="21">
        <v>5.8709319526627198E-3</v>
      </c>
      <c r="O71">
        <v>3609</v>
      </c>
      <c r="P71" t="s">
        <v>77</v>
      </c>
      <c r="Q7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71" s="22">
        <f>_xlfn.XLOOKUP(TBL_Post_1[[#This Row],[Campaign_Name]],TBL_Campaign_Data_1[Campaign_Name],TBL_Campaign_Data_1[Start_Date])</f>
        <v>45505</v>
      </c>
      <c r="S71" s="22">
        <f>_xlfn.XLOOKUP(TBL_Post_1[[#This Row],[Campaign_Name]],TBL_Campaign_Data_1[Campaign_Name],TBL_Campaign_Data_1[End_Date])</f>
        <v>45535</v>
      </c>
    </row>
    <row r="72" spans="1:19">
      <c r="A72" t="s">
        <v>142</v>
      </c>
      <c r="B72" t="s">
        <v>14</v>
      </c>
      <c r="C72" s="22">
        <v>45712</v>
      </c>
      <c r="D72" t="s">
        <v>42</v>
      </c>
      <c r="E72" t="s">
        <v>43</v>
      </c>
      <c r="F72">
        <v>2704</v>
      </c>
      <c r="G72">
        <v>752</v>
      </c>
      <c r="H72">
        <v>153</v>
      </c>
      <c r="I72">
        <v>21632</v>
      </c>
      <c r="J72">
        <v>20792</v>
      </c>
      <c r="K72">
        <v>127</v>
      </c>
      <c r="L72" t="s">
        <v>19</v>
      </c>
      <c r="M72" s="21">
        <v>0.16683616863905301</v>
      </c>
      <c r="N72" s="21">
        <v>5.8709319526627198E-3</v>
      </c>
      <c r="O72">
        <v>3609</v>
      </c>
      <c r="P72" t="s">
        <v>24</v>
      </c>
      <c r="Q7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72" s="22">
        <f>_xlfn.XLOOKUP(TBL_Post_1[[#This Row],[Campaign_Name]],TBL_Campaign_Data_1[Campaign_Name],TBL_Campaign_Data_1[Start_Date])</f>
        <v>45505</v>
      </c>
      <c r="S72" s="22">
        <f>_xlfn.XLOOKUP(TBL_Post_1[[#This Row],[Campaign_Name]],TBL_Campaign_Data_1[Campaign_Name],TBL_Campaign_Data_1[End_Date])</f>
        <v>45535</v>
      </c>
    </row>
    <row r="73" spans="1:19">
      <c r="A73" t="s">
        <v>145</v>
      </c>
      <c r="B73" t="s">
        <v>14</v>
      </c>
      <c r="C73" s="22">
        <v>45727</v>
      </c>
      <c r="D73" t="s">
        <v>33</v>
      </c>
      <c r="E73" t="s">
        <v>34</v>
      </c>
      <c r="F73">
        <v>1950</v>
      </c>
      <c r="G73">
        <v>295</v>
      </c>
      <c r="H73">
        <v>478</v>
      </c>
      <c r="I73">
        <v>37050</v>
      </c>
      <c r="J73">
        <v>36272</v>
      </c>
      <c r="K73">
        <v>119</v>
      </c>
      <c r="L73" t="s">
        <v>55</v>
      </c>
      <c r="M73" s="21">
        <v>7.3495276653171404E-2</v>
      </c>
      <c r="N73" s="21">
        <v>3.2118758434547898E-3</v>
      </c>
      <c r="O73">
        <v>2723</v>
      </c>
      <c r="P73" t="s">
        <v>24</v>
      </c>
      <c r="Q7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73" s="22">
        <f>_xlfn.XLOOKUP(TBL_Post_1[[#This Row],[Campaign_Name]],TBL_Campaign_Data_1[Campaign_Name],TBL_Campaign_Data_1[Start_Date])</f>
        <v>45667</v>
      </c>
      <c r="S73" s="22">
        <f>_xlfn.XLOOKUP(TBL_Post_1[[#This Row],[Campaign_Name]],TBL_Campaign_Data_1[Campaign_Name],TBL_Campaign_Data_1[End_Date])</f>
        <v>45698</v>
      </c>
    </row>
    <row r="74" spans="1:19">
      <c r="A74" t="s">
        <v>145</v>
      </c>
      <c r="B74" t="s">
        <v>14</v>
      </c>
      <c r="C74" s="22">
        <v>45727</v>
      </c>
      <c r="D74" t="s">
        <v>33</v>
      </c>
      <c r="E74" t="s">
        <v>34</v>
      </c>
      <c r="F74">
        <v>1950</v>
      </c>
      <c r="G74">
        <v>295</v>
      </c>
      <c r="H74">
        <v>478</v>
      </c>
      <c r="I74">
        <v>37050</v>
      </c>
      <c r="J74">
        <v>36272</v>
      </c>
      <c r="K74">
        <v>119</v>
      </c>
      <c r="L74" t="s">
        <v>55</v>
      </c>
      <c r="M74" s="21">
        <v>7.3495276653171404E-2</v>
      </c>
      <c r="N74" s="21">
        <v>3.2118758434547898E-3</v>
      </c>
      <c r="O74">
        <v>2723</v>
      </c>
      <c r="P74" t="s">
        <v>58</v>
      </c>
      <c r="Q7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74" s="22">
        <f>_xlfn.XLOOKUP(TBL_Post_1[[#This Row],[Campaign_Name]],TBL_Campaign_Data_1[Campaign_Name],TBL_Campaign_Data_1[Start_Date])</f>
        <v>45667</v>
      </c>
      <c r="S74" s="22">
        <f>_xlfn.XLOOKUP(TBL_Post_1[[#This Row],[Campaign_Name]],TBL_Campaign_Data_1[Campaign_Name],TBL_Campaign_Data_1[End_Date])</f>
        <v>45698</v>
      </c>
    </row>
    <row r="75" spans="1:19">
      <c r="A75" t="s">
        <v>147</v>
      </c>
      <c r="B75" t="s">
        <v>14</v>
      </c>
      <c r="C75" s="22">
        <v>45453</v>
      </c>
      <c r="D75" t="s">
        <v>33</v>
      </c>
      <c r="E75" t="s">
        <v>34</v>
      </c>
      <c r="F75">
        <v>2164</v>
      </c>
      <c r="G75">
        <v>549</v>
      </c>
      <c r="H75">
        <v>274</v>
      </c>
      <c r="I75">
        <v>28132</v>
      </c>
      <c r="J75">
        <v>27361</v>
      </c>
      <c r="K75">
        <v>177</v>
      </c>
      <c r="L75" t="s">
        <v>19</v>
      </c>
      <c r="M75" s="21">
        <v>0.106178017915541</v>
      </c>
      <c r="N75" s="21">
        <v>6.2917673823404E-3</v>
      </c>
      <c r="O75">
        <v>2987</v>
      </c>
      <c r="P75" t="s">
        <v>58</v>
      </c>
      <c r="Q7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75" s="22">
        <f>_xlfn.XLOOKUP(TBL_Post_1[[#This Row],[Campaign_Name]],TBL_Campaign_Data_1[Campaign_Name],TBL_Campaign_Data_1[Start_Date])</f>
        <v>45505</v>
      </c>
      <c r="S75" s="22">
        <f>_xlfn.XLOOKUP(TBL_Post_1[[#This Row],[Campaign_Name]],TBL_Campaign_Data_1[Campaign_Name],TBL_Campaign_Data_1[End_Date])</f>
        <v>45535</v>
      </c>
    </row>
    <row r="76" spans="1:19">
      <c r="A76" t="s">
        <v>149</v>
      </c>
      <c r="B76" t="s">
        <v>27</v>
      </c>
      <c r="C76" s="22">
        <v>45476</v>
      </c>
      <c r="D76" t="s">
        <v>33</v>
      </c>
      <c r="E76" t="s">
        <v>34</v>
      </c>
      <c r="F76">
        <v>2754</v>
      </c>
      <c r="G76">
        <v>130</v>
      </c>
      <c r="H76">
        <v>90</v>
      </c>
      <c r="I76">
        <v>22032</v>
      </c>
      <c r="J76">
        <v>21288</v>
      </c>
      <c r="K76">
        <v>112</v>
      </c>
      <c r="L76" t="s">
        <v>19</v>
      </c>
      <c r="M76" s="21">
        <v>0.13498547567175001</v>
      </c>
      <c r="N76" s="21">
        <v>5.0835148874364602E-3</v>
      </c>
      <c r="O76">
        <v>2974</v>
      </c>
      <c r="P76" t="s">
        <v>24</v>
      </c>
      <c r="Q7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76" s="22">
        <f>_xlfn.XLOOKUP(TBL_Post_1[[#This Row],[Campaign_Name]],TBL_Campaign_Data_1[Campaign_Name],TBL_Campaign_Data_1[Start_Date])</f>
        <v>45505</v>
      </c>
      <c r="S76" s="22">
        <f>_xlfn.XLOOKUP(TBL_Post_1[[#This Row],[Campaign_Name]],TBL_Campaign_Data_1[Campaign_Name],TBL_Campaign_Data_1[End_Date])</f>
        <v>45535</v>
      </c>
    </row>
    <row r="77" spans="1:19">
      <c r="A77" t="s">
        <v>151</v>
      </c>
      <c r="B77" t="s">
        <v>40</v>
      </c>
      <c r="C77" s="22">
        <v>45456</v>
      </c>
      <c r="D77" t="s">
        <v>42</v>
      </c>
      <c r="E77" t="s">
        <v>43</v>
      </c>
      <c r="F77">
        <v>2200</v>
      </c>
      <c r="G77">
        <v>504</v>
      </c>
      <c r="H77">
        <v>239</v>
      </c>
      <c r="I77">
        <v>37400</v>
      </c>
      <c r="J77">
        <v>36938</v>
      </c>
      <c r="K77">
        <v>225</v>
      </c>
      <c r="L77" t="s">
        <v>38</v>
      </c>
      <c r="M77" s="21">
        <v>7.8689839572192499E-2</v>
      </c>
      <c r="N77" s="21">
        <v>6.0160427807486603E-3</v>
      </c>
      <c r="O77">
        <v>2943</v>
      </c>
      <c r="P77" t="s">
        <v>18</v>
      </c>
      <c r="Q7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77" s="22">
        <f>_xlfn.XLOOKUP(TBL_Post_1[[#This Row],[Campaign_Name]],TBL_Campaign_Data_1[Campaign_Name],TBL_Campaign_Data_1[Start_Date])</f>
        <v>45570</v>
      </c>
      <c r="S77" s="22">
        <f>_xlfn.XLOOKUP(TBL_Post_1[[#This Row],[Campaign_Name]],TBL_Campaign_Data_1[Campaign_Name],TBL_Campaign_Data_1[End_Date])</f>
        <v>45601</v>
      </c>
    </row>
    <row r="78" spans="1:19">
      <c r="A78" t="s">
        <v>153</v>
      </c>
      <c r="B78" t="s">
        <v>40</v>
      </c>
      <c r="C78" s="22">
        <v>45660</v>
      </c>
      <c r="D78" t="s">
        <v>49</v>
      </c>
      <c r="E78" t="s">
        <v>50</v>
      </c>
      <c r="F78">
        <v>947</v>
      </c>
      <c r="G78">
        <v>338</v>
      </c>
      <c r="H78">
        <v>350</v>
      </c>
      <c r="I78">
        <v>10417</v>
      </c>
      <c r="J78">
        <v>9730</v>
      </c>
      <c r="K78">
        <v>34</v>
      </c>
      <c r="L78" t="s">
        <v>38</v>
      </c>
      <c r="M78" s="21">
        <v>0.15695497744072201</v>
      </c>
      <c r="N78" s="21">
        <v>3.2638955553422298E-3</v>
      </c>
      <c r="O78">
        <v>1635</v>
      </c>
      <c r="P78" t="s">
        <v>24</v>
      </c>
      <c r="Q7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78" s="22">
        <f>_xlfn.XLOOKUP(TBL_Post_1[[#This Row],[Campaign_Name]],TBL_Campaign_Data_1[Campaign_Name],TBL_Campaign_Data_1[Start_Date])</f>
        <v>45570</v>
      </c>
      <c r="S78" s="22">
        <f>_xlfn.XLOOKUP(TBL_Post_1[[#This Row],[Campaign_Name]],TBL_Campaign_Data_1[Campaign_Name],TBL_Campaign_Data_1[End_Date])</f>
        <v>45601</v>
      </c>
    </row>
    <row r="79" spans="1:19">
      <c r="A79" t="s">
        <v>153</v>
      </c>
      <c r="B79" t="s">
        <v>40</v>
      </c>
      <c r="C79" s="22">
        <v>45660</v>
      </c>
      <c r="D79" t="s">
        <v>49</v>
      </c>
      <c r="E79" t="s">
        <v>50</v>
      </c>
      <c r="F79">
        <v>947</v>
      </c>
      <c r="G79">
        <v>338</v>
      </c>
      <c r="H79">
        <v>350</v>
      </c>
      <c r="I79">
        <v>10417</v>
      </c>
      <c r="J79">
        <v>9730</v>
      </c>
      <c r="K79">
        <v>34</v>
      </c>
      <c r="L79" t="s">
        <v>38</v>
      </c>
      <c r="M79" s="21">
        <v>0.15695497744072201</v>
      </c>
      <c r="N79" s="21">
        <v>3.2638955553422298E-3</v>
      </c>
      <c r="O79">
        <v>1635</v>
      </c>
      <c r="P79" t="s">
        <v>18</v>
      </c>
      <c r="Q7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79" s="22">
        <f>_xlfn.XLOOKUP(TBL_Post_1[[#This Row],[Campaign_Name]],TBL_Campaign_Data_1[Campaign_Name],TBL_Campaign_Data_1[Start_Date])</f>
        <v>45570</v>
      </c>
      <c r="S79" s="22">
        <f>_xlfn.XLOOKUP(TBL_Post_1[[#This Row],[Campaign_Name]],TBL_Campaign_Data_1[Campaign_Name],TBL_Campaign_Data_1[End_Date])</f>
        <v>45601</v>
      </c>
    </row>
    <row r="80" spans="1:19">
      <c r="A80" t="s">
        <v>155</v>
      </c>
      <c r="B80" t="s">
        <v>27</v>
      </c>
      <c r="C80" s="22">
        <v>45712</v>
      </c>
      <c r="D80" t="s">
        <v>42</v>
      </c>
      <c r="E80" t="s">
        <v>43</v>
      </c>
      <c r="F80">
        <v>804</v>
      </c>
      <c r="G80">
        <v>639</v>
      </c>
      <c r="H80">
        <v>43</v>
      </c>
      <c r="I80">
        <v>4020</v>
      </c>
      <c r="J80">
        <v>3144</v>
      </c>
      <c r="K80">
        <v>11</v>
      </c>
      <c r="L80" t="s">
        <v>55</v>
      </c>
      <c r="M80" s="21">
        <v>0.36965174129353201</v>
      </c>
      <c r="N80" s="21">
        <v>2.7363184079602001E-3</v>
      </c>
      <c r="O80">
        <v>1486</v>
      </c>
      <c r="P80" t="s">
        <v>58</v>
      </c>
      <c r="Q8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80" s="22">
        <f>_xlfn.XLOOKUP(TBL_Post_1[[#This Row],[Campaign_Name]],TBL_Campaign_Data_1[Campaign_Name],TBL_Campaign_Data_1[Start_Date])</f>
        <v>45667</v>
      </c>
      <c r="S80" s="22">
        <f>_xlfn.XLOOKUP(TBL_Post_1[[#This Row],[Campaign_Name]],TBL_Campaign_Data_1[Campaign_Name],TBL_Campaign_Data_1[End_Date])</f>
        <v>45698</v>
      </c>
    </row>
    <row r="81" spans="1:19">
      <c r="A81" t="s">
        <v>155</v>
      </c>
      <c r="B81" t="s">
        <v>27</v>
      </c>
      <c r="C81" s="22">
        <v>45712</v>
      </c>
      <c r="D81" t="s">
        <v>42</v>
      </c>
      <c r="E81" t="s">
        <v>43</v>
      </c>
      <c r="F81">
        <v>804</v>
      </c>
      <c r="G81">
        <v>639</v>
      </c>
      <c r="H81">
        <v>43</v>
      </c>
      <c r="I81">
        <v>4020</v>
      </c>
      <c r="J81">
        <v>3144</v>
      </c>
      <c r="K81">
        <v>11</v>
      </c>
      <c r="L81" t="s">
        <v>55</v>
      </c>
      <c r="M81" s="21">
        <v>0.36965174129353201</v>
      </c>
      <c r="N81" s="21">
        <v>2.7363184079602001E-3</v>
      </c>
      <c r="O81">
        <v>1486</v>
      </c>
      <c r="P81" t="s">
        <v>44</v>
      </c>
      <c r="Q8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81" s="22">
        <f>_xlfn.XLOOKUP(TBL_Post_1[[#This Row],[Campaign_Name]],TBL_Campaign_Data_1[Campaign_Name],TBL_Campaign_Data_1[Start_Date])</f>
        <v>45667</v>
      </c>
      <c r="S81" s="22">
        <f>_xlfn.XLOOKUP(TBL_Post_1[[#This Row],[Campaign_Name]],TBL_Campaign_Data_1[Campaign_Name],TBL_Campaign_Data_1[End_Date])</f>
        <v>45698</v>
      </c>
    </row>
    <row r="82" spans="1:19">
      <c r="A82" t="s">
        <v>156</v>
      </c>
      <c r="B82" t="s">
        <v>27</v>
      </c>
      <c r="C82" s="22">
        <v>45729</v>
      </c>
      <c r="D82" t="s">
        <v>42</v>
      </c>
      <c r="E82" t="s">
        <v>43</v>
      </c>
      <c r="F82">
        <v>1686</v>
      </c>
      <c r="G82">
        <v>904</v>
      </c>
      <c r="H82">
        <v>472</v>
      </c>
      <c r="I82">
        <v>18546</v>
      </c>
      <c r="J82">
        <v>18171</v>
      </c>
      <c r="K82">
        <v>52</v>
      </c>
      <c r="L82" t="s">
        <v>25</v>
      </c>
      <c r="M82" s="21">
        <v>0.165102987167044</v>
      </c>
      <c r="N82" s="21">
        <v>2.8038391027714899E-3</v>
      </c>
      <c r="O82">
        <v>3062</v>
      </c>
      <c r="P82" t="s">
        <v>24</v>
      </c>
      <c r="Q8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82" s="22">
        <f>_xlfn.XLOOKUP(TBL_Post_1[[#This Row],[Campaign_Name]],TBL_Campaign_Data_1[Campaign_Name],TBL_Campaign_Data_1[Start_Date])</f>
        <v>45453</v>
      </c>
      <c r="S82" s="22">
        <f>_xlfn.XLOOKUP(TBL_Post_1[[#This Row],[Campaign_Name]],TBL_Campaign_Data_1[Campaign_Name],TBL_Campaign_Data_1[End_Date])</f>
        <v>45478</v>
      </c>
    </row>
    <row r="83" spans="1:19">
      <c r="A83" t="s">
        <v>156</v>
      </c>
      <c r="B83" t="s">
        <v>27</v>
      </c>
      <c r="C83" s="22">
        <v>45729</v>
      </c>
      <c r="D83" t="s">
        <v>42</v>
      </c>
      <c r="E83" t="s">
        <v>43</v>
      </c>
      <c r="F83">
        <v>1686</v>
      </c>
      <c r="G83">
        <v>904</v>
      </c>
      <c r="H83">
        <v>472</v>
      </c>
      <c r="I83">
        <v>18546</v>
      </c>
      <c r="J83">
        <v>18171</v>
      </c>
      <c r="K83">
        <v>52</v>
      </c>
      <c r="L83" t="s">
        <v>25</v>
      </c>
      <c r="M83" s="21">
        <v>0.165102987167044</v>
      </c>
      <c r="N83" s="21">
        <v>2.8038391027714899E-3</v>
      </c>
      <c r="O83">
        <v>3062</v>
      </c>
      <c r="P83" t="s">
        <v>77</v>
      </c>
      <c r="Q8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83" s="22">
        <f>_xlfn.XLOOKUP(TBL_Post_1[[#This Row],[Campaign_Name]],TBL_Campaign_Data_1[Campaign_Name],TBL_Campaign_Data_1[Start_Date])</f>
        <v>45453</v>
      </c>
      <c r="S83" s="22">
        <f>_xlfn.XLOOKUP(TBL_Post_1[[#This Row],[Campaign_Name]],TBL_Campaign_Data_1[Campaign_Name],TBL_Campaign_Data_1[End_Date])</f>
        <v>45478</v>
      </c>
    </row>
    <row r="84" spans="1:19">
      <c r="A84" t="s">
        <v>158</v>
      </c>
      <c r="B84" t="s">
        <v>40</v>
      </c>
      <c r="C84" s="22">
        <v>45460</v>
      </c>
      <c r="D84" t="s">
        <v>49</v>
      </c>
      <c r="E84" t="s">
        <v>50</v>
      </c>
      <c r="F84">
        <v>1226</v>
      </c>
      <c r="G84">
        <v>119</v>
      </c>
      <c r="H84">
        <v>7</v>
      </c>
      <c r="I84">
        <v>14712</v>
      </c>
      <c r="J84">
        <v>14049</v>
      </c>
      <c r="K84">
        <v>123</v>
      </c>
      <c r="L84" t="s">
        <v>55</v>
      </c>
      <c r="M84" s="21">
        <v>9.1897770527460607E-2</v>
      </c>
      <c r="N84" s="21">
        <v>8.3605220228385006E-3</v>
      </c>
      <c r="O84">
        <v>1352</v>
      </c>
      <c r="P84" t="s">
        <v>18</v>
      </c>
      <c r="Q8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84" s="22">
        <f>_xlfn.XLOOKUP(TBL_Post_1[[#This Row],[Campaign_Name]],TBL_Campaign_Data_1[Campaign_Name],TBL_Campaign_Data_1[Start_Date])</f>
        <v>45667</v>
      </c>
      <c r="S84" s="22">
        <f>_xlfn.XLOOKUP(TBL_Post_1[[#This Row],[Campaign_Name]],TBL_Campaign_Data_1[Campaign_Name],TBL_Campaign_Data_1[End_Date])</f>
        <v>45698</v>
      </c>
    </row>
    <row r="85" spans="1:19">
      <c r="A85" t="s">
        <v>158</v>
      </c>
      <c r="B85" t="s">
        <v>40</v>
      </c>
      <c r="C85" s="22">
        <v>45460</v>
      </c>
      <c r="D85" t="s">
        <v>49</v>
      </c>
      <c r="E85" t="s">
        <v>50</v>
      </c>
      <c r="F85">
        <v>1226</v>
      </c>
      <c r="G85">
        <v>119</v>
      </c>
      <c r="H85">
        <v>7</v>
      </c>
      <c r="I85">
        <v>14712</v>
      </c>
      <c r="J85">
        <v>14049</v>
      </c>
      <c r="K85">
        <v>123</v>
      </c>
      <c r="L85" t="s">
        <v>55</v>
      </c>
      <c r="M85" s="21">
        <v>9.1897770527460607E-2</v>
      </c>
      <c r="N85" s="21">
        <v>8.3605220228385006E-3</v>
      </c>
      <c r="O85">
        <v>1352</v>
      </c>
      <c r="P85" t="s">
        <v>44</v>
      </c>
      <c r="Q8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85" s="22">
        <f>_xlfn.XLOOKUP(TBL_Post_1[[#This Row],[Campaign_Name]],TBL_Campaign_Data_1[Campaign_Name],TBL_Campaign_Data_1[Start_Date])</f>
        <v>45667</v>
      </c>
      <c r="S85" s="22">
        <f>_xlfn.XLOOKUP(TBL_Post_1[[#This Row],[Campaign_Name]],TBL_Campaign_Data_1[Campaign_Name],TBL_Campaign_Data_1[End_Date])</f>
        <v>45698</v>
      </c>
    </row>
    <row r="86" spans="1:19">
      <c r="A86" t="s">
        <v>160</v>
      </c>
      <c r="B86" t="s">
        <v>40</v>
      </c>
      <c r="C86" s="22">
        <v>45644</v>
      </c>
      <c r="D86" t="s">
        <v>42</v>
      </c>
      <c r="E86" t="s">
        <v>43</v>
      </c>
      <c r="F86">
        <v>2946</v>
      </c>
      <c r="G86">
        <v>498</v>
      </c>
      <c r="H86">
        <v>367</v>
      </c>
      <c r="I86">
        <v>29460</v>
      </c>
      <c r="J86">
        <v>28527</v>
      </c>
      <c r="K86">
        <v>60</v>
      </c>
      <c r="L86" t="s">
        <v>25</v>
      </c>
      <c r="M86" s="21">
        <v>0.129361846571623</v>
      </c>
      <c r="N86" s="21">
        <v>2.0366598778004102E-3</v>
      </c>
      <c r="O86">
        <v>3811</v>
      </c>
      <c r="P86" t="s">
        <v>58</v>
      </c>
      <c r="Q8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86" s="22">
        <f>_xlfn.XLOOKUP(TBL_Post_1[[#This Row],[Campaign_Name]],TBL_Campaign_Data_1[Campaign_Name],TBL_Campaign_Data_1[Start_Date])</f>
        <v>45453</v>
      </c>
      <c r="S86" s="22">
        <f>_xlfn.XLOOKUP(TBL_Post_1[[#This Row],[Campaign_Name]],TBL_Campaign_Data_1[Campaign_Name],TBL_Campaign_Data_1[End_Date])</f>
        <v>45478</v>
      </c>
    </row>
    <row r="87" spans="1:19">
      <c r="A87" t="s">
        <v>160</v>
      </c>
      <c r="B87" t="s">
        <v>40</v>
      </c>
      <c r="C87" s="22">
        <v>45644</v>
      </c>
      <c r="D87" t="s">
        <v>42</v>
      </c>
      <c r="E87" t="s">
        <v>43</v>
      </c>
      <c r="F87">
        <v>2946</v>
      </c>
      <c r="G87">
        <v>498</v>
      </c>
      <c r="H87">
        <v>367</v>
      </c>
      <c r="I87">
        <v>29460</v>
      </c>
      <c r="J87">
        <v>28527</v>
      </c>
      <c r="K87">
        <v>60</v>
      </c>
      <c r="L87" t="s">
        <v>25</v>
      </c>
      <c r="M87" s="21">
        <v>0.129361846571623</v>
      </c>
      <c r="N87" s="21">
        <v>2.0366598778004102E-3</v>
      </c>
      <c r="O87">
        <v>3811</v>
      </c>
      <c r="P87" t="s">
        <v>77</v>
      </c>
      <c r="Q8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87" s="22">
        <f>_xlfn.XLOOKUP(TBL_Post_1[[#This Row],[Campaign_Name]],TBL_Campaign_Data_1[Campaign_Name],TBL_Campaign_Data_1[Start_Date])</f>
        <v>45453</v>
      </c>
      <c r="S87" s="22">
        <f>_xlfn.XLOOKUP(TBL_Post_1[[#This Row],[Campaign_Name]],TBL_Campaign_Data_1[Campaign_Name],TBL_Campaign_Data_1[End_Date])</f>
        <v>45478</v>
      </c>
    </row>
    <row r="88" spans="1:19">
      <c r="A88" t="s">
        <v>163</v>
      </c>
      <c r="B88" t="s">
        <v>14</v>
      </c>
      <c r="C88" s="22">
        <v>45586</v>
      </c>
      <c r="D88" t="s">
        <v>69</v>
      </c>
      <c r="E88" t="s">
        <v>70</v>
      </c>
      <c r="F88">
        <v>2825</v>
      </c>
      <c r="G88">
        <v>535</v>
      </c>
      <c r="H88">
        <v>295</v>
      </c>
      <c r="I88">
        <v>45200</v>
      </c>
      <c r="J88">
        <v>44739</v>
      </c>
      <c r="K88">
        <v>169</v>
      </c>
      <c r="L88" t="s">
        <v>25</v>
      </c>
      <c r="M88" s="21">
        <v>8.0862831858407105E-2</v>
      </c>
      <c r="N88" s="21">
        <v>3.7389380530973501E-3</v>
      </c>
      <c r="O88">
        <v>3655</v>
      </c>
      <c r="P88" t="s">
        <v>58</v>
      </c>
      <c r="Q8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88" s="22">
        <f>_xlfn.XLOOKUP(TBL_Post_1[[#This Row],[Campaign_Name]],TBL_Campaign_Data_1[Campaign_Name],TBL_Campaign_Data_1[Start_Date])</f>
        <v>45453</v>
      </c>
      <c r="S88" s="22">
        <f>_xlfn.XLOOKUP(TBL_Post_1[[#This Row],[Campaign_Name]],TBL_Campaign_Data_1[Campaign_Name],TBL_Campaign_Data_1[End_Date])</f>
        <v>45478</v>
      </c>
    </row>
    <row r="89" spans="1:19">
      <c r="A89" t="s">
        <v>165</v>
      </c>
      <c r="B89" t="s">
        <v>31</v>
      </c>
      <c r="C89" s="22">
        <v>45762</v>
      </c>
      <c r="D89" t="s">
        <v>16</v>
      </c>
      <c r="E89" t="s">
        <v>17</v>
      </c>
      <c r="F89">
        <v>103</v>
      </c>
      <c r="G89">
        <v>770</v>
      </c>
      <c r="H89">
        <v>19</v>
      </c>
      <c r="I89">
        <v>1030</v>
      </c>
      <c r="J89">
        <v>410</v>
      </c>
      <c r="K89">
        <v>262</v>
      </c>
      <c r="L89" t="s">
        <v>38</v>
      </c>
      <c r="M89" s="21">
        <v>0.86601941747572797</v>
      </c>
      <c r="N89" s="21">
        <v>0.25436893203883498</v>
      </c>
      <c r="O89">
        <v>892</v>
      </c>
      <c r="P89" t="s">
        <v>18</v>
      </c>
      <c r="Q8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89" s="22">
        <f>_xlfn.XLOOKUP(TBL_Post_1[[#This Row],[Campaign_Name]],TBL_Campaign_Data_1[Campaign_Name],TBL_Campaign_Data_1[Start_Date])</f>
        <v>45570</v>
      </c>
      <c r="S89" s="22">
        <f>_xlfn.XLOOKUP(TBL_Post_1[[#This Row],[Campaign_Name]],TBL_Campaign_Data_1[Campaign_Name],TBL_Campaign_Data_1[End_Date])</f>
        <v>45601</v>
      </c>
    </row>
    <row r="90" spans="1:19">
      <c r="A90" t="s">
        <v>167</v>
      </c>
      <c r="B90" t="s">
        <v>31</v>
      </c>
      <c r="C90" s="22">
        <v>45465</v>
      </c>
      <c r="D90" t="s">
        <v>22</v>
      </c>
      <c r="E90" t="s">
        <v>23</v>
      </c>
      <c r="F90">
        <v>2180</v>
      </c>
      <c r="G90">
        <v>263</v>
      </c>
      <c r="H90">
        <v>387</v>
      </c>
      <c r="I90">
        <v>30520</v>
      </c>
      <c r="J90">
        <v>30059</v>
      </c>
      <c r="K90">
        <v>174</v>
      </c>
      <c r="L90" t="s">
        <v>19</v>
      </c>
      <c r="M90" s="21">
        <v>9.2726081258191401E-2</v>
      </c>
      <c r="N90" s="21">
        <v>5.7011795543905602E-3</v>
      </c>
      <c r="O90">
        <v>2830</v>
      </c>
      <c r="P90" t="s">
        <v>77</v>
      </c>
      <c r="Q9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90" s="22">
        <f>_xlfn.XLOOKUP(TBL_Post_1[[#This Row],[Campaign_Name]],TBL_Campaign_Data_1[Campaign_Name],TBL_Campaign_Data_1[Start_Date])</f>
        <v>45505</v>
      </c>
      <c r="S90" s="22">
        <f>_xlfn.XLOOKUP(TBL_Post_1[[#This Row],[Campaign_Name]],TBL_Campaign_Data_1[Campaign_Name],TBL_Campaign_Data_1[End_Date])</f>
        <v>45535</v>
      </c>
    </row>
    <row r="91" spans="1:19">
      <c r="A91" t="s">
        <v>169</v>
      </c>
      <c r="B91" t="s">
        <v>31</v>
      </c>
      <c r="C91" s="22">
        <v>45685</v>
      </c>
      <c r="D91" t="s">
        <v>69</v>
      </c>
      <c r="E91" t="s">
        <v>70</v>
      </c>
      <c r="F91">
        <v>904</v>
      </c>
      <c r="G91">
        <v>973</v>
      </c>
      <c r="H91">
        <v>63</v>
      </c>
      <c r="I91">
        <v>11752</v>
      </c>
      <c r="J91">
        <v>11580</v>
      </c>
      <c r="K91">
        <v>84</v>
      </c>
      <c r="L91" t="s">
        <v>19</v>
      </c>
      <c r="M91" s="21">
        <v>0.16507828454731099</v>
      </c>
      <c r="N91" s="21">
        <v>7.1477195371000696E-3</v>
      </c>
      <c r="O91">
        <v>1940</v>
      </c>
      <c r="P91" t="s">
        <v>58</v>
      </c>
      <c r="Q9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91" s="22">
        <f>_xlfn.XLOOKUP(TBL_Post_1[[#This Row],[Campaign_Name]],TBL_Campaign_Data_1[Campaign_Name],TBL_Campaign_Data_1[Start_Date])</f>
        <v>45505</v>
      </c>
      <c r="S91" s="22">
        <f>_xlfn.XLOOKUP(TBL_Post_1[[#This Row],[Campaign_Name]],TBL_Campaign_Data_1[Campaign_Name],TBL_Campaign_Data_1[End_Date])</f>
        <v>45535</v>
      </c>
    </row>
    <row r="92" spans="1:19">
      <c r="A92" t="s">
        <v>171</v>
      </c>
      <c r="B92" t="s">
        <v>14</v>
      </c>
      <c r="C92" s="22">
        <v>45540</v>
      </c>
      <c r="D92" t="s">
        <v>69</v>
      </c>
      <c r="E92" t="s">
        <v>70</v>
      </c>
      <c r="F92">
        <v>4886</v>
      </c>
      <c r="G92">
        <v>983</v>
      </c>
      <c r="H92">
        <v>409</v>
      </c>
      <c r="I92">
        <v>43974</v>
      </c>
      <c r="J92">
        <v>43239</v>
      </c>
      <c r="K92">
        <v>65</v>
      </c>
      <c r="L92" t="s">
        <v>19</v>
      </c>
      <c r="M92" s="21">
        <v>0.14276618001546401</v>
      </c>
      <c r="N92" s="21">
        <v>1.47814617728658E-3</v>
      </c>
      <c r="O92">
        <v>6278</v>
      </c>
      <c r="P92" t="s">
        <v>24</v>
      </c>
      <c r="Q9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92" s="22">
        <f>_xlfn.XLOOKUP(TBL_Post_1[[#This Row],[Campaign_Name]],TBL_Campaign_Data_1[Campaign_Name],TBL_Campaign_Data_1[Start_Date])</f>
        <v>45505</v>
      </c>
      <c r="S92" s="22">
        <f>_xlfn.XLOOKUP(TBL_Post_1[[#This Row],[Campaign_Name]],TBL_Campaign_Data_1[Campaign_Name],TBL_Campaign_Data_1[End_Date])</f>
        <v>45535</v>
      </c>
    </row>
    <row r="93" spans="1:19">
      <c r="A93" t="s">
        <v>173</v>
      </c>
      <c r="B93" t="s">
        <v>14</v>
      </c>
      <c r="C93" s="22">
        <v>45618</v>
      </c>
      <c r="D93" t="s">
        <v>42</v>
      </c>
      <c r="E93" t="s">
        <v>43</v>
      </c>
      <c r="F93">
        <v>53</v>
      </c>
      <c r="G93">
        <v>81</v>
      </c>
      <c r="H93">
        <v>379</v>
      </c>
      <c r="I93">
        <v>954</v>
      </c>
      <c r="J93">
        <v>7</v>
      </c>
      <c r="K93">
        <v>148</v>
      </c>
      <c r="L93" t="s">
        <v>38</v>
      </c>
      <c r="M93" s="21">
        <v>0.53773584905660399</v>
      </c>
      <c r="N93" s="21">
        <v>0.155136268343816</v>
      </c>
      <c r="O93">
        <v>513</v>
      </c>
      <c r="P93" t="s">
        <v>77</v>
      </c>
      <c r="Q9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93" s="22">
        <f>_xlfn.XLOOKUP(TBL_Post_1[[#This Row],[Campaign_Name]],TBL_Campaign_Data_1[Campaign_Name],TBL_Campaign_Data_1[Start_Date])</f>
        <v>45570</v>
      </c>
      <c r="S93" s="22">
        <f>_xlfn.XLOOKUP(TBL_Post_1[[#This Row],[Campaign_Name]],TBL_Campaign_Data_1[Campaign_Name],TBL_Campaign_Data_1[End_Date])</f>
        <v>45601</v>
      </c>
    </row>
    <row r="94" spans="1:19">
      <c r="A94" t="s">
        <v>175</v>
      </c>
      <c r="B94" t="s">
        <v>14</v>
      </c>
      <c r="C94" s="22">
        <v>45504</v>
      </c>
      <c r="D94" t="s">
        <v>42</v>
      </c>
      <c r="E94" t="s">
        <v>43</v>
      </c>
      <c r="F94">
        <v>4507</v>
      </c>
      <c r="G94">
        <v>217</v>
      </c>
      <c r="H94">
        <v>13</v>
      </c>
      <c r="I94">
        <v>90140</v>
      </c>
      <c r="J94">
        <v>89591</v>
      </c>
      <c r="K94">
        <v>125</v>
      </c>
      <c r="L94" t="s">
        <v>19</v>
      </c>
      <c r="M94" s="21">
        <v>5.2551586421122697E-2</v>
      </c>
      <c r="N94" s="21">
        <v>1.38673175061016E-3</v>
      </c>
      <c r="O94">
        <v>4737</v>
      </c>
      <c r="P94" t="s">
        <v>18</v>
      </c>
      <c r="Q9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94" s="22">
        <f>_xlfn.XLOOKUP(TBL_Post_1[[#This Row],[Campaign_Name]],TBL_Campaign_Data_1[Campaign_Name],TBL_Campaign_Data_1[Start_Date])</f>
        <v>45505</v>
      </c>
      <c r="S94" s="22">
        <f>_xlfn.XLOOKUP(TBL_Post_1[[#This Row],[Campaign_Name]],TBL_Campaign_Data_1[Campaign_Name],TBL_Campaign_Data_1[End_Date])</f>
        <v>45535</v>
      </c>
    </row>
    <row r="95" spans="1:19">
      <c r="A95" t="s">
        <v>176</v>
      </c>
      <c r="B95" t="s">
        <v>40</v>
      </c>
      <c r="C95" s="22">
        <v>45521</v>
      </c>
      <c r="D95" t="s">
        <v>49</v>
      </c>
      <c r="E95" t="s">
        <v>50</v>
      </c>
      <c r="F95">
        <v>2878</v>
      </c>
      <c r="G95">
        <v>248</v>
      </c>
      <c r="H95">
        <v>416</v>
      </c>
      <c r="I95">
        <v>43170</v>
      </c>
      <c r="J95">
        <v>42667</v>
      </c>
      <c r="K95">
        <v>75</v>
      </c>
      <c r="L95" t="s">
        <v>25</v>
      </c>
      <c r="M95" s="21">
        <v>8.2047718322909399E-2</v>
      </c>
      <c r="N95" s="21">
        <v>1.73731758165393E-3</v>
      </c>
      <c r="O95">
        <v>3542</v>
      </c>
      <c r="P95" t="s">
        <v>77</v>
      </c>
      <c r="Q9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95" s="22">
        <f>_xlfn.XLOOKUP(TBL_Post_1[[#This Row],[Campaign_Name]],TBL_Campaign_Data_1[Campaign_Name],TBL_Campaign_Data_1[Start_Date])</f>
        <v>45453</v>
      </c>
      <c r="S95" s="22">
        <f>_xlfn.XLOOKUP(TBL_Post_1[[#This Row],[Campaign_Name]],TBL_Campaign_Data_1[Campaign_Name],TBL_Campaign_Data_1[End_Date])</f>
        <v>45478</v>
      </c>
    </row>
    <row r="96" spans="1:19">
      <c r="A96" t="s">
        <v>176</v>
      </c>
      <c r="B96" t="s">
        <v>40</v>
      </c>
      <c r="C96" s="22">
        <v>45521</v>
      </c>
      <c r="D96" t="s">
        <v>49</v>
      </c>
      <c r="E96" t="s">
        <v>50</v>
      </c>
      <c r="F96">
        <v>2878</v>
      </c>
      <c r="G96">
        <v>248</v>
      </c>
      <c r="H96">
        <v>416</v>
      </c>
      <c r="I96">
        <v>43170</v>
      </c>
      <c r="J96">
        <v>42667</v>
      </c>
      <c r="K96">
        <v>75</v>
      </c>
      <c r="L96" t="s">
        <v>25</v>
      </c>
      <c r="M96" s="21">
        <v>8.2047718322909399E-2</v>
      </c>
      <c r="N96" s="21">
        <v>1.73731758165393E-3</v>
      </c>
      <c r="O96">
        <v>3542</v>
      </c>
      <c r="P96" t="s">
        <v>44</v>
      </c>
      <c r="Q9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96" s="22">
        <f>_xlfn.XLOOKUP(TBL_Post_1[[#This Row],[Campaign_Name]],TBL_Campaign_Data_1[Campaign_Name],TBL_Campaign_Data_1[Start_Date])</f>
        <v>45453</v>
      </c>
      <c r="S96" s="22">
        <f>_xlfn.XLOOKUP(TBL_Post_1[[#This Row],[Campaign_Name]],TBL_Campaign_Data_1[Campaign_Name],TBL_Campaign_Data_1[End_Date])</f>
        <v>45478</v>
      </c>
    </row>
    <row r="97" spans="1:19">
      <c r="A97" t="s">
        <v>179</v>
      </c>
      <c r="B97" t="s">
        <v>31</v>
      </c>
      <c r="C97" s="22">
        <v>45744</v>
      </c>
      <c r="D97" t="s">
        <v>33</v>
      </c>
      <c r="E97" t="s">
        <v>34</v>
      </c>
      <c r="F97">
        <v>1881</v>
      </c>
      <c r="G97">
        <v>501</v>
      </c>
      <c r="H97">
        <v>99</v>
      </c>
      <c r="I97">
        <v>20691</v>
      </c>
      <c r="J97">
        <v>19987</v>
      </c>
      <c r="K97">
        <v>289</v>
      </c>
      <c r="L97" t="s">
        <v>25</v>
      </c>
      <c r="M97" s="21">
        <v>0.119907206031608</v>
      </c>
      <c r="N97" s="21">
        <v>1.3967425450679E-2</v>
      </c>
      <c r="O97">
        <v>2481</v>
      </c>
      <c r="P97" t="s">
        <v>77</v>
      </c>
      <c r="Q9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97" s="22">
        <f>_xlfn.XLOOKUP(TBL_Post_1[[#This Row],[Campaign_Name]],TBL_Campaign_Data_1[Campaign_Name],TBL_Campaign_Data_1[Start_Date])</f>
        <v>45453</v>
      </c>
      <c r="S97" s="22">
        <f>_xlfn.XLOOKUP(TBL_Post_1[[#This Row],[Campaign_Name]],TBL_Campaign_Data_1[Campaign_Name],TBL_Campaign_Data_1[End_Date])</f>
        <v>45478</v>
      </c>
    </row>
    <row r="98" spans="1:19">
      <c r="A98" t="s">
        <v>181</v>
      </c>
      <c r="B98" t="s">
        <v>14</v>
      </c>
      <c r="C98" s="22">
        <v>45499</v>
      </c>
      <c r="D98" t="s">
        <v>42</v>
      </c>
      <c r="E98" t="s">
        <v>43</v>
      </c>
      <c r="F98">
        <v>432</v>
      </c>
      <c r="G98">
        <v>171</v>
      </c>
      <c r="H98">
        <v>280</v>
      </c>
      <c r="I98">
        <v>3024</v>
      </c>
      <c r="J98">
        <v>2285</v>
      </c>
      <c r="K98">
        <v>184</v>
      </c>
      <c r="L98" t="s">
        <v>38</v>
      </c>
      <c r="M98" s="21">
        <v>0.29199735449735398</v>
      </c>
      <c r="N98" s="21">
        <v>6.0846560846560802E-2</v>
      </c>
      <c r="O98">
        <v>883</v>
      </c>
      <c r="P98" t="s">
        <v>24</v>
      </c>
      <c r="Q9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98" s="22">
        <f>_xlfn.XLOOKUP(TBL_Post_1[[#This Row],[Campaign_Name]],TBL_Campaign_Data_1[Campaign_Name],TBL_Campaign_Data_1[Start_Date])</f>
        <v>45570</v>
      </c>
      <c r="S98" s="22">
        <f>_xlfn.XLOOKUP(TBL_Post_1[[#This Row],[Campaign_Name]],TBL_Campaign_Data_1[Campaign_Name],TBL_Campaign_Data_1[End_Date])</f>
        <v>45601</v>
      </c>
    </row>
    <row r="99" spans="1:19">
      <c r="A99" t="s">
        <v>183</v>
      </c>
      <c r="B99" t="s">
        <v>40</v>
      </c>
      <c r="C99" s="22">
        <v>45745</v>
      </c>
      <c r="D99" t="s">
        <v>42</v>
      </c>
      <c r="E99" t="s">
        <v>43</v>
      </c>
      <c r="F99">
        <v>4712</v>
      </c>
      <c r="G99">
        <v>568</v>
      </c>
      <c r="H99">
        <v>127</v>
      </c>
      <c r="I99">
        <v>84816</v>
      </c>
      <c r="J99">
        <v>84691</v>
      </c>
      <c r="K99">
        <v>100</v>
      </c>
      <c r="L99" t="s">
        <v>19</v>
      </c>
      <c r="M99" s="21">
        <v>6.3749764195434794E-2</v>
      </c>
      <c r="N99" s="21">
        <v>1.17902282588191E-3</v>
      </c>
      <c r="O99">
        <v>5407</v>
      </c>
      <c r="P99" t="s">
        <v>77</v>
      </c>
      <c r="Q9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99" s="22">
        <f>_xlfn.XLOOKUP(TBL_Post_1[[#This Row],[Campaign_Name]],TBL_Campaign_Data_1[Campaign_Name],TBL_Campaign_Data_1[Start_Date])</f>
        <v>45505</v>
      </c>
      <c r="S99" s="22">
        <f>_xlfn.XLOOKUP(TBL_Post_1[[#This Row],[Campaign_Name]],TBL_Campaign_Data_1[Campaign_Name],TBL_Campaign_Data_1[End_Date])</f>
        <v>45535</v>
      </c>
    </row>
    <row r="100" spans="1:19">
      <c r="A100" t="s">
        <v>185</v>
      </c>
      <c r="B100" t="s">
        <v>31</v>
      </c>
      <c r="C100" s="22">
        <v>45634</v>
      </c>
      <c r="D100" t="s">
        <v>33</v>
      </c>
      <c r="E100" t="s">
        <v>34</v>
      </c>
      <c r="F100">
        <v>2610</v>
      </c>
      <c r="G100">
        <v>126</v>
      </c>
      <c r="H100">
        <v>288</v>
      </c>
      <c r="I100">
        <v>15660</v>
      </c>
      <c r="J100">
        <v>15145</v>
      </c>
      <c r="K100">
        <v>73</v>
      </c>
      <c r="L100" t="s">
        <v>19</v>
      </c>
      <c r="M100" s="21">
        <v>0.19310344827586201</v>
      </c>
      <c r="N100" s="21">
        <v>4.6615581098339697E-3</v>
      </c>
      <c r="O100">
        <v>3024</v>
      </c>
      <c r="P100" t="s">
        <v>24</v>
      </c>
      <c r="Q10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00" s="22">
        <f>_xlfn.XLOOKUP(TBL_Post_1[[#This Row],[Campaign_Name]],TBL_Campaign_Data_1[Campaign_Name],TBL_Campaign_Data_1[Start_Date])</f>
        <v>45505</v>
      </c>
      <c r="S100" s="22">
        <f>_xlfn.XLOOKUP(TBL_Post_1[[#This Row],[Campaign_Name]],TBL_Campaign_Data_1[Campaign_Name],TBL_Campaign_Data_1[End_Date])</f>
        <v>45535</v>
      </c>
    </row>
    <row r="101" spans="1:19">
      <c r="A101" t="s">
        <v>187</v>
      </c>
      <c r="B101" t="s">
        <v>14</v>
      </c>
      <c r="C101" s="22">
        <v>45724</v>
      </c>
      <c r="D101" t="s">
        <v>22</v>
      </c>
      <c r="E101" t="s">
        <v>23</v>
      </c>
      <c r="F101">
        <v>1292</v>
      </c>
      <c r="G101">
        <v>626</v>
      </c>
      <c r="H101">
        <v>496</v>
      </c>
      <c r="I101">
        <v>25840</v>
      </c>
      <c r="J101">
        <v>24916</v>
      </c>
      <c r="K101">
        <v>149</v>
      </c>
      <c r="L101" t="s">
        <v>55</v>
      </c>
      <c r="M101" s="21">
        <v>9.3421052631579002E-2</v>
      </c>
      <c r="N101" s="21">
        <v>5.7662538699690402E-3</v>
      </c>
      <c r="O101">
        <v>2414</v>
      </c>
      <c r="P101" t="s">
        <v>58</v>
      </c>
      <c r="Q10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01" s="22">
        <f>_xlfn.XLOOKUP(TBL_Post_1[[#This Row],[Campaign_Name]],TBL_Campaign_Data_1[Campaign_Name],TBL_Campaign_Data_1[Start_Date])</f>
        <v>45667</v>
      </c>
      <c r="S101" s="22">
        <f>_xlfn.XLOOKUP(TBL_Post_1[[#This Row],[Campaign_Name]],TBL_Campaign_Data_1[Campaign_Name],TBL_Campaign_Data_1[End_Date])</f>
        <v>45698</v>
      </c>
    </row>
    <row r="102" spans="1:19">
      <c r="A102" t="s">
        <v>187</v>
      </c>
      <c r="B102" t="s">
        <v>14</v>
      </c>
      <c r="C102" s="22">
        <v>45724</v>
      </c>
      <c r="D102" t="s">
        <v>22</v>
      </c>
      <c r="E102" t="s">
        <v>23</v>
      </c>
      <c r="F102">
        <v>1292</v>
      </c>
      <c r="G102">
        <v>626</v>
      </c>
      <c r="H102">
        <v>496</v>
      </c>
      <c r="I102">
        <v>25840</v>
      </c>
      <c r="J102">
        <v>24916</v>
      </c>
      <c r="K102">
        <v>149</v>
      </c>
      <c r="L102" t="s">
        <v>55</v>
      </c>
      <c r="M102" s="21">
        <v>9.3421052631579002E-2</v>
      </c>
      <c r="N102" s="21">
        <v>5.7662538699690402E-3</v>
      </c>
      <c r="O102">
        <v>2414</v>
      </c>
      <c r="P102" t="s">
        <v>44</v>
      </c>
      <c r="Q10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02" s="22">
        <f>_xlfn.XLOOKUP(TBL_Post_1[[#This Row],[Campaign_Name]],TBL_Campaign_Data_1[Campaign_Name],TBL_Campaign_Data_1[Start_Date])</f>
        <v>45667</v>
      </c>
      <c r="S102" s="22">
        <f>_xlfn.XLOOKUP(TBL_Post_1[[#This Row],[Campaign_Name]],TBL_Campaign_Data_1[Campaign_Name],TBL_Campaign_Data_1[End_Date])</f>
        <v>45698</v>
      </c>
    </row>
    <row r="103" spans="1:19">
      <c r="A103" t="s">
        <v>188</v>
      </c>
      <c r="B103" t="s">
        <v>40</v>
      </c>
      <c r="C103" s="22">
        <v>45749</v>
      </c>
      <c r="D103" t="s">
        <v>69</v>
      </c>
      <c r="E103" t="s">
        <v>70</v>
      </c>
      <c r="F103">
        <v>199</v>
      </c>
      <c r="G103">
        <v>772</v>
      </c>
      <c r="H103">
        <v>400</v>
      </c>
      <c r="I103">
        <v>3582</v>
      </c>
      <c r="J103">
        <v>2988</v>
      </c>
      <c r="K103">
        <v>43</v>
      </c>
      <c r="L103" t="s">
        <v>19</v>
      </c>
      <c r="M103" s="21">
        <v>0.38274706867671698</v>
      </c>
      <c r="N103" s="21">
        <v>1.2004466778336101E-2</v>
      </c>
      <c r="O103">
        <v>1371</v>
      </c>
      <c r="P103" t="s">
        <v>44</v>
      </c>
      <c r="Q10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03" s="22">
        <f>_xlfn.XLOOKUP(TBL_Post_1[[#This Row],[Campaign_Name]],TBL_Campaign_Data_1[Campaign_Name],TBL_Campaign_Data_1[Start_Date])</f>
        <v>45505</v>
      </c>
      <c r="S103" s="22">
        <f>_xlfn.XLOOKUP(TBL_Post_1[[#This Row],[Campaign_Name]],TBL_Campaign_Data_1[Campaign_Name],TBL_Campaign_Data_1[End_Date])</f>
        <v>45535</v>
      </c>
    </row>
    <row r="104" spans="1:19">
      <c r="A104" t="s">
        <v>190</v>
      </c>
      <c r="B104" t="s">
        <v>27</v>
      </c>
      <c r="C104" s="22">
        <v>45537</v>
      </c>
      <c r="D104" t="s">
        <v>42</v>
      </c>
      <c r="E104" t="s">
        <v>43</v>
      </c>
      <c r="F104">
        <v>2551</v>
      </c>
      <c r="G104">
        <v>915</v>
      </c>
      <c r="H104">
        <v>205</v>
      </c>
      <c r="I104">
        <v>30612</v>
      </c>
      <c r="J104">
        <v>30360</v>
      </c>
      <c r="K104">
        <v>227</v>
      </c>
      <c r="L104" t="s">
        <v>25</v>
      </c>
      <c r="M104" s="21">
        <v>0.119920292695675</v>
      </c>
      <c r="N104" s="21">
        <v>7.4153926564745802E-3</v>
      </c>
      <c r="O104">
        <v>3671</v>
      </c>
      <c r="P104" t="s">
        <v>18</v>
      </c>
      <c r="Q10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04" s="22">
        <f>_xlfn.XLOOKUP(TBL_Post_1[[#This Row],[Campaign_Name]],TBL_Campaign_Data_1[Campaign_Name],TBL_Campaign_Data_1[Start_Date])</f>
        <v>45453</v>
      </c>
      <c r="S104" s="22">
        <f>_xlfn.XLOOKUP(TBL_Post_1[[#This Row],[Campaign_Name]],TBL_Campaign_Data_1[Campaign_Name],TBL_Campaign_Data_1[End_Date])</f>
        <v>45478</v>
      </c>
    </row>
    <row r="105" spans="1:19">
      <c r="A105" t="s">
        <v>190</v>
      </c>
      <c r="B105" t="s">
        <v>27</v>
      </c>
      <c r="C105" s="22">
        <v>45537</v>
      </c>
      <c r="D105" t="s">
        <v>42</v>
      </c>
      <c r="E105" t="s">
        <v>43</v>
      </c>
      <c r="F105">
        <v>2551</v>
      </c>
      <c r="G105">
        <v>915</v>
      </c>
      <c r="H105">
        <v>205</v>
      </c>
      <c r="I105">
        <v>30612</v>
      </c>
      <c r="J105">
        <v>30360</v>
      </c>
      <c r="K105">
        <v>227</v>
      </c>
      <c r="L105" t="s">
        <v>25</v>
      </c>
      <c r="M105" s="21">
        <v>0.119920292695675</v>
      </c>
      <c r="N105" s="21">
        <v>7.4153926564745802E-3</v>
      </c>
      <c r="O105">
        <v>3671</v>
      </c>
      <c r="P105" t="s">
        <v>77</v>
      </c>
      <c r="Q10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05" s="22">
        <f>_xlfn.XLOOKUP(TBL_Post_1[[#This Row],[Campaign_Name]],TBL_Campaign_Data_1[Campaign_Name],TBL_Campaign_Data_1[Start_Date])</f>
        <v>45453</v>
      </c>
      <c r="S105" s="22">
        <f>_xlfn.XLOOKUP(TBL_Post_1[[#This Row],[Campaign_Name]],TBL_Campaign_Data_1[Campaign_Name],TBL_Campaign_Data_1[End_Date])</f>
        <v>45478</v>
      </c>
    </row>
    <row r="106" spans="1:19">
      <c r="A106" t="s">
        <v>192</v>
      </c>
      <c r="B106" t="s">
        <v>27</v>
      </c>
      <c r="C106" s="22">
        <v>45719</v>
      </c>
      <c r="D106" t="s">
        <v>16</v>
      </c>
      <c r="E106" t="s">
        <v>17</v>
      </c>
      <c r="F106">
        <v>296</v>
      </c>
      <c r="G106">
        <v>60</v>
      </c>
      <c r="H106">
        <v>141</v>
      </c>
      <c r="I106">
        <v>5624</v>
      </c>
      <c r="J106">
        <v>5239</v>
      </c>
      <c r="K106">
        <v>88</v>
      </c>
      <c r="L106" t="s">
        <v>55</v>
      </c>
      <c r="M106" s="21">
        <v>8.8371266002845006E-2</v>
      </c>
      <c r="N106" s="21">
        <v>1.5647226173542E-2</v>
      </c>
      <c r="O106">
        <v>497</v>
      </c>
      <c r="P106" t="s">
        <v>44</v>
      </c>
      <c r="Q10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06" s="22">
        <f>_xlfn.XLOOKUP(TBL_Post_1[[#This Row],[Campaign_Name]],TBL_Campaign_Data_1[Campaign_Name],TBL_Campaign_Data_1[Start_Date])</f>
        <v>45667</v>
      </c>
      <c r="S106" s="22">
        <f>_xlfn.XLOOKUP(TBL_Post_1[[#This Row],[Campaign_Name]],TBL_Campaign_Data_1[Campaign_Name],TBL_Campaign_Data_1[End_Date])</f>
        <v>45698</v>
      </c>
    </row>
    <row r="107" spans="1:19">
      <c r="A107" t="s">
        <v>194</v>
      </c>
      <c r="B107" t="s">
        <v>40</v>
      </c>
      <c r="C107" s="22">
        <v>45583</v>
      </c>
      <c r="D107" t="s">
        <v>33</v>
      </c>
      <c r="E107" t="s">
        <v>34</v>
      </c>
      <c r="F107">
        <v>4126</v>
      </c>
      <c r="G107">
        <v>426</v>
      </c>
      <c r="H107">
        <v>486</v>
      </c>
      <c r="I107">
        <v>78394</v>
      </c>
      <c r="J107">
        <v>77798</v>
      </c>
      <c r="K107">
        <v>88</v>
      </c>
      <c r="L107" t="s">
        <v>19</v>
      </c>
      <c r="M107" s="21">
        <v>6.4265122330790597E-2</v>
      </c>
      <c r="N107" s="21">
        <v>1.12253488787407E-3</v>
      </c>
      <c r="O107">
        <v>5038</v>
      </c>
      <c r="P107" t="s">
        <v>24</v>
      </c>
      <c r="Q10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07" s="22">
        <f>_xlfn.XLOOKUP(TBL_Post_1[[#This Row],[Campaign_Name]],TBL_Campaign_Data_1[Campaign_Name],TBL_Campaign_Data_1[Start_Date])</f>
        <v>45505</v>
      </c>
      <c r="S107" s="22">
        <f>_xlfn.XLOOKUP(TBL_Post_1[[#This Row],[Campaign_Name]],TBL_Campaign_Data_1[Campaign_Name],TBL_Campaign_Data_1[End_Date])</f>
        <v>45535</v>
      </c>
    </row>
    <row r="108" spans="1:19">
      <c r="A108" t="s">
        <v>196</v>
      </c>
      <c r="B108" t="s">
        <v>27</v>
      </c>
      <c r="C108" s="22">
        <v>45593</v>
      </c>
      <c r="D108" t="s">
        <v>16</v>
      </c>
      <c r="E108" t="s">
        <v>17</v>
      </c>
      <c r="F108">
        <v>1855</v>
      </c>
      <c r="G108">
        <v>200</v>
      </c>
      <c r="H108">
        <v>174</v>
      </c>
      <c r="I108">
        <v>16695</v>
      </c>
      <c r="J108">
        <v>16330</v>
      </c>
      <c r="K108">
        <v>123</v>
      </c>
      <c r="L108" t="s">
        <v>38</v>
      </c>
      <c r="M108" s="21">
        <v>0.13351302785265001</v>
      </c>
      <c r="N108" s="21">
        <v>7.3674752920035898E-3</v>
      </c>
      <c r="O108">
        <v>2229</v>
      </c>
      <c r="P108" t="s">
        <v>24</v>
      </c>
      <c r="Q10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08" s="22">
        <f>_xlfn.XLOOKUP(TBL_Post_1[[#This Row],[Campaign_Name]],TBL_Campaign_Data_1[Campaign_Name],TBL_Campaign_Data_1[Start_Date])</f>
        <v>45570</v>
      </c>
      <c r="S108" s="22">
        <f>_xlfn.XLOOKUP(TBL_Post_1[[#This Row],[Campaign_Name]],TBL_Campaign_Data_1[Campaign_Name],TBL_Campaign_Data_1[End_Date])</f>
        <v>45601</v>
      </c>
    </row>
    <row r="109" spans="1:19">
      <c r="A109" t="s">
        <v>198</v>
      </c>
      <c r="B109" t="s">
        <v>31</v>
      </c>
      <c r="C109" s="22">
        <v>45505</v>
      </c>
      <c r="D109" t="s">
        <v>16</v>
      </c>
      <c r="E109" t="s">
        <v>17</v>
      </c>
      <c r="F109">
        <v>1674</v>
      </c>
      <c r="G109">
        <v>929</v>
      </c>
      <c r="H109">
        <v>37</v>
      </c>
      <c r="I109">
        <v>21762</v>
      </c>
      <c r="J109">
        <v>20998</v>
      </c>
      <c r="K109">
        <v>255</v>
      </c>
      <c r="L109" t="s">
        <v>38</v>
      </c>
      <c r="M109" s="21">
        <v>0.121312379376896</v>
      </c>
      <c r="N109" s="21">
        <v>1.17176730079956E-2</v>
      </c>
      <c r="O109">
        <v>2640</v>
      </c>
      <c r="P109" t="s">
        <v>58</v>
      </c>
      <c r="Q10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09" s="22">
        <f>_xlfn.XLOOKUP(TBL_Post_1[[#This Row],[Campaign_Name]],TBL_Campaign_Data_1[Campaign_Name],TBL_Campaign_Data_1[Start_Date])</f>
        <v>45570</v>
      </c>
      <c r="S109" s="22">
        <f>_xlfn.XLOOKUP(TBL_Post_1[[#This Row],[Campaign_Name]],TBL_Campaign_Data_1[Campaign_Name],TBL_Campaign_Data_1[End_Date])</f>
        <v>45601</v>
      </c>
    </row>
    <row r="110" spans="1:19">
      <c r="A110" t="s">
        <v>198</v>
      </c>
      <c r="B110" t="s">
        <v>31</v>
      </c>
      <c r="C110" s="22">
        <v>45505</v>
      </c>
      <c r="D110" t="s">
        <v>16</v>
      </c>
      <c r="E110" t="s">
        <v>17</v>
      </c>
      <c r="F110">
        <v>1674</v>
      </c>
      <c r="G110">
        <v>929</v>
      </c>
      <c r="H110">
        <v>37</v>
      </c>
      <c r="I110">
        <v>21762</v>
      </c>
      <c r="J110">
        <v>20998</v>
      </c>
      <c r="K110">
        <v>255</v>
      </c>
      <c r="L110" t="s">
        <v>38</v>
      </c>
      <c r="M110" s="21">
        <v>0.121312379376896</v>
      </c>
      <c r="N110" s="21">
        <v>1.17176730079956E-2</v>
      </c>
      <c r="O110">
        <v>2640</v>
      </c>
      <c r="P110" t="s">
        <v>77</v>
      </c>
      <c r="Q11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10" s="22">
        <f>_xlfn.XLOOKUP(TBL_Post_1[[#This Row],[Campaign_Name]],TBL_Campaign_Data_1[Campaign_Name],TBL_Campaign_Data_1[Start_Date])</f>
        <v>45570</v>
      </c>
      <c r="S110" s="22">
        <f>_xlfn.XLOOKUP(TBL_Post_1[[#This Row],[Campaign_Name]],TBL_Campaign_Data_1[Campaign_Name],TBL_Campaign_Data_1[End_Date])</f>
        <v>45601</v>
      </c>
    </row>
    <row r="111" spans="1:19">
      <c r="A111" t="s">
        <v>200</v>
      </c>
      <c r="B111" t="s">
        <v>14</v>
      </c>
      <c r="C111" s="22">
        <v>45603</v>
      </c>
      <c r="D111" t="s">
        <v>33</v>
      </c>
      <c r="E111" t="s">
        <v>34</v>
      </c>
      <c r="F111">
        <v>1121</v>
      </c>
      <c r="G111">
        <v>135</v>
      </c>
      <c r="H111">
        <v>18</v>
      </c>
      <c r="I111">
        <v>15694</v>
      </c>
      <c r="J111">
        <v>14957</v>
      </c>
      <c r="K111">
        <v>99</v>
      </c>
      <c r="L111" t="s">
        <v>55</v>
      </c>
      <c r="M111" s="21">
        <v>8.1177520071364806E-2</v>
      </c>
      <c r="N111" s="21">
        <v>6.3081432394545703E-3</v>
      </c>
      <c r="O111">
        <v>1274</v>
      </c>
      <c r="P111" t="s">
        <v>18</v>
      </c>
      <c r="Q11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11" s="22">
        <f>_xlfn.XLOOKUP(TBL_Post_1[[#This Row],[Campaign_Name]],TBL_Campaign_Data_1[Campaign_Name],TBL_Campaign_Data_1[Start_Date])</f>
        <v>45667</v>
      </c>
      <c r="S111" s="22">
        <f>_xlfn.XLOOKUP(TBL_Post_1[[#This Row],[Campaign_Name]],TBL_Campaign_Data_1[Campaign_Name],TBL_Campaign_Data_1[End_Date])</f>
        <v>45698</v>
      </c>
    </row>
    <row r="112" spans="1:19">
      <c r="A112" t="s">
        <v>200</v>
      </c>
      <c r="B112" t="s">
        <v>14</v>
      </c>
      <c r="C112" s="22">
        <v>45603</v>
      </c>
      <c r="D112" t="s">
        <v>33</v>
      </c>
      <c r="E112" t="s">
        <v>34</v>
      </c>
      <c r="F112">
        <v>1121</v>
      </c>
      <c r="G112">
        <v>135</v>
      </c>
      <c r="H112">
        <v>18</v>
      </c>
      <c r="I112">
        <v>15694</v>
      </c>
      <c r="J112">
        <v>14957</v>
      </c>
      <c r="K112">
        <v>99</v>
      </c>
      <c r="L112" t="s">
        <v>55</v>
      </c>
      <c r="M112" s="21">
        <v>8.1177520071364806E-2</v>
      </c>
      <c r="N112" s="21">
        <v>6.3081432394545703E-3</v>
      </c>
      <c r="O112">
        <v>1274</v>
      </c>
      <c r="P112" t="s">
        <v>24</v>
      </c>
      <c r="Q11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12" s="22">
        <f>_xlfn.XLOOKUP(TBL_Post_1[[#This Row],[Campaign_Name]],TBL_Campaign_Data_1[Campaign_Name],TBL_Campaign_Data_1[Start_Date])</f>
        <v>45667</v>
      </c>
      <c r="S112" s="22">
        <f>_xlfn.XLOOKUP(TBL_Post_1[[#This Row],[Campaign_Name]],TBL_Campaign_Data_1[Campaign_Name],TBL_Campaign_Data_1[End_Date])</f>
        <v>45698</v>
      </c>
    </row>
    <row r="113" spans="1:19">
      <c r="A113" t="s">
        <v>202</v>
      </c>
      <c r="B113" t="s">
        <v>40</v>
      </c>
      <c r="C113" s="22">
        <v>45720</v>
      </c>
      <c r="D113" t="s">
        <v>33</v>
      </c>
      <c r="E113" t="s">
        <v>34</v>
      </c>
      <c r="F113">
        <v>1249</v>
      </c>
      <c r="G113">
        <v>116</v>
      </c>
      <c r="H113">
        <v>420</v>
      </c>
      <c r="I113">
        <v>8743</v>
      </c>
      <c r="J113">
        <v>8538</v>
      </c>
      <c r="K113">
        <v>63</v>
      </c>
      <c r="L113" t="s">
        <v>38</v>
      </c>
      <c r="M113" s="21">
        <v>0.20416333066453199</v>
      </c>
      <c r="N113" s="21">
        <v>7.2057646116893501E-3</v>
      </c>
      <c r="O113">
        <v>1785</v>
      </c>
      <c r="P113" t="s">
        <v>24</v>
      </c>
      <c r="Q11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13" s="22">
        <f>_xlfn.XLOOKUP(TBL_Post_1[[#This Row],[Campaign_Name]],TBL_Campaign_Data_1[Campaign_Name],TBL_Campaign_Data_1[Start_Date])</f>
        <v>45570</v>
      </c>
      <c r="S113" s="22">
        <f>_xlfn.XLOOKUP(TBL_Post_1[[#This Row],[Campaign_Name]],TBL_Campaign_Data_1[Campaign_Name],TBL_Campaign_Data_1[End_Date])</f>
        <v>45601</v>
      </c>
    </row>
    <row r="114" spans="1:19">
      <c r="A114" t="s">
        <v>202</v>
      </c>
      <c r="B114" t="s">
        <v>40</v>
      </c>
      <c r="C114" s="22">
        <v>45720</v>
      </c>
      <c r="D114" t="s">
        <v>33</v>
      </c>
      <c r="E114" t="s">
        <v>34</v>
      </c>
      <c r="F114">
        <v>1249</v>
      </c>
      <c r="G114">
        <v>116</v>
      </c>
      <c r="H114">
        <v>420</v>
      </c>
      <c r="I114">
        <v>8743</v>
      </c>
      <c r="J114">
        <v>8538</v>
      </c>
      <c r="K114">
        <v>63</v>
      </c>
      <c r="L114" t="s">
        <v>38</v>
      </c>
      <c r="M114" s="21">
        <v>0.20416333066453199</v>
      </c>
      <c r="N114" s="21">
        <v>7.2057646116893501E-3</v>
      </c>
      <c r="O114">
        <v>1785</v>
      </c>
      <c r="P114" t="s">
        <v>77</v>
      </c>
      <c r="Q11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14" s="22">
        <f>_xlfn.XLOOKUP(TBL_Post_1[[#This Row],[Campaign_Name]],TBL_Campaign_Data_1[Campaign_Name],TBL_Campaign_Data_1[Start_Date])</f>
        <v>45570</v>
      </c>
      <c r="S114" s="22">
        <f>_xlfn.XLOOKUP(TBL_Post_1[[#This Row],[Campaign_Name]],TBL_Campaign_Data_1[Campaign_Name],TBL_Campaign_Data_1[End_Date])</f>
        <v>45601</v>
      </c>
    </row>
    <row r="115" spans="1:19">
      <c r="A115" t="s">
        <v>203</v>
      </c>
      <c r="B115" t="s">
        <v>14</v>
      </c>
      <c r="C115" s="22">
        <v>45460</v>
      </c>
      <c r="D115" t="s">
        <v>49</v>
      </c>
      <c r="E115" t="s">
        <v>50</v>
      </c>
      <c r="F115">
        <v>954</v>
      </c>
      <c r="G115">
        <v>324</v>
      </c>
      <c r="H115">
        <v>288</v>
      </c>
      <c r="I115">
        <v>19080</v>
      </c>
      <c r="J115">
        <v>18859</v>
      </c>
      <c r="K115">
        <v>21</v>
      </c>
      <c r="L115" t="s">
        <v>38</v>
      </c>
      <c r="M115" s="21">
        <v>8.2075471698113203E-2</v>
      </c>
      <c r="N115" s="21">
        <v>1.10062893081761E-3</v>
      </c>
      <c r="O115">
        <v>1566</v>
      </c>
      <c r="P115" t="s">
        <v>44</v>
      </c>
      <c r="Q11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15" s="22">
        <f>_xlfn.XLOOKUP(TBL_Post_1[[#This Row],[Campaign_Name]],TBL_Campaign_Data_1[Campaign_Name],TBL_Campaign_Data_1[Start_Date])</f>
        <v>45570</v>
      </c>
      <c r="S115" s="22">
        <f>_xlfn.XLOOKUP(TBL_Post_1[[#This Row],[Campaign_Name]],TBL_Campaign_Data_1[Campaign_Name],TBL_Campaign_Data_1[End_Date])</f>
        <v>45601</v>
      </c>
    </row>
    <row r="116" spans="1:19">
      <c r="A116" t="s">
        <v>204</v>
      </c>
      <c r="B116" t="s">
        <v>31</v>
      </c>
      <c r="C116" s="22">
        <v>45574</v>
      </c>
      <c r="D116" t="s">
        <v>42</v>
      </c>
      <c r="E116" t="s">
        <v>43</v>
      </c>
      <c r="F116">
        <v>3068</v>
      </c>
      <c r="G116">
        <v>137</v>
      </c>
      <c r="H116">
        <v>329</v>
      </c>
      <c r="I116">
        <v>39884</v>
      </c>
      <c r="J116">
        <v>39404</v>
      </c>
      <c r="K116">
        <v>266</v>
      </c>
      <c r="L116" t="s">
        <v>38</v>
      </c>
      <c r="M116" s="21">
        <v>8.8606960184535205E-2</v>
      </c>
      <c r="N116" s="21">
        <v>6.6693410891585604E-3</v>
      </c>
      <c r="O116">
        <v>3534</v>
      </c>
      <c r="P116" t="s">
        <v>18</v>
      </c>
      <c r="Q11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16" s="22">
        <f>_xlfn.XLOOKUP(TBL_Post_1[[#This Row],[Campaign_Name]],TBL_Campaign_Data_1[Campaign_Name],TBL_Campaign_Data_1[Start_Date])</f>
        <v>45570</v>
      </c>
      <c r="S116" s="22">
        <f>_xlfn.XLOOKUP(TBL_Post_1[[#This Row],[Campaign_Name]],TBL_Campaign_Data_1[Campaign_Name],TBL_Campaign_Data_1[End_Date])</f>
        <v>45601</v>
      </c>
    </row>
    <row r="117" spans="1:19">
      <c r="A117" t="s">
        <v>204</v>
      </c>
      <c r="B117" t="s">
        <v>31</v>
      </c>
      <c r="C117" s="22">
        <v>45574</v>
      </c>
      <c r="D117" t="s">
        <v>42</v>
      </c>
      <c r="E117" t="s">
        <v>43</v>
      </c>
      <c r="F117">
        <v>3068</v>
      </c>
      <c r="G117">
        <v>137</v>
      </c>
      <c r="H117">
        <v>329</v>
      </c>
      <c r="I117">
        <v>39884</v>
      </c>
      <c r="J117">
        <v>39404</v>
      </c>
      <c r="K117">
        <v>266</v>
      </c>
      <c r="L117" t="s">
        <v>38</v>
      </c>
      <c r="M117" s="21">
        <v>8.8606960184535205E-2</v>
      </c>
      <c r="N117" s="21">
        <v>6.6693410891585604E-3</v>
      </c>
      <c r="O117">
        <v>3534</v>
      </c>
      <c r="P117" t="s">
        <v>44</v>
      </c>
      <c r="Q11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17" s="22">
        <f>_xlfn.XLOOKUP(TBL_Post_1[[#This Row],[Campaign_Name]],TBL_Campaign_Data_1[Campaign_Name],TBL_Campaign_Data_1[Start_Date])</f>
        <v>45570</v>
      </c>
      <c r="S117" s="22">
        <f>_xlfn.XLOOKUP(TBL_Post_1[[#This Row],[Campaign_Name]],TBL_Campaign_Data_1[Campaign_Name],TBL_Campaign_Data_1[End_Date])</f>
        <v>45601</v>
      </c>
    </row>
    <row r="118" spans="1:19">
      <c r="A118" t="s">
        <v>206</v>
      </c>
      <c r="B118" t="s">
        <v>31</v>
      </c>
      <c r="C118" s="22">
        <v>45456</v>
      </c>
      <c r="D118" t="s">
        <v>33</v>
      </c>
      <c r="E118" t="s">
        <v>34</v>
      </c>
      <c r="F118">
        <v>2103</v>
      </c>
      <c r="G118">
        <v>892</v>
      </c>
      <c r="H118">
        <v>103</v>
      </c>
      <c r="I118">
        <v>39957</v>
      </c>
      <c r="J118">
        <v>39466</v>
      </c>
      <c r="K118">
        <v>28</v>
      </c>
      <c r="L118" t="s">
        <v>25</v>
      </c>
      <c r="M118" s="21">
        <v>7.75333483494757E-2</v>
      </c>
      <c r="N118" s="21">
        <v>7.0075330980804405E-4</v>
      </c>
      <c r="O118">
        <v>3098</v>
      </c>
      <c r="P118" t="s">
        <v>77</v>
      </c>
      <c r="Q11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18" s="22">
        <f>_xlfn.XLOOKUP(TBL_Post_1[[#This Row],[Campaign_Name]],TBL_Campaign_Data_1[Campaign_Name],TBL_Campaign_Data_1[Start_Date])</f>
        <v>45453</v>
      </c>
      <c r="S118" s="22">
        <f>_xlfn.XLOOKUP(TBL_Post_1[[#This Row],[Campaign_Name]],TBL_Campaign_Data_1[Campaign_Name],TBL_Campaign_Data_1[End_Date])</f>
        <v>45478</v>
      </c>
    </row>
    <row r="119" spans="1:19">
      <c r="A119" t="s">
        <v>206</v>
      </c>
      <c r="B119" t="s">
        <v>31</v>
      </c>
      <c r="C119" s="22">
        <v>45456</v>
      </c>
      <c r="D119" t="s">
        <v>33</v>
      </c>
      <c r="E119" t="s">
        <v>34</v>
      </c>
      <c r="F119">
        <v>2103</v>
      </c>
      <c r="G119">
        <v>892</v>
      </c>
      <c r="H119">
        <v>103</v>
      </c>
      <c r="I119">
        <v>39957</v>
      </c>
      <c r="J119">
        <v>39466</v>
      </c>
      <c r="K119">
        <v>28</v>
      </c>
      <c r="L119" t="s">
        <v>25</v>
      </c>
      <c r="M119" s="21">
        <v>7.75333483494757E-2</v>
      </c>
      <c r="N119" s="21">
        <v>7.0075330980804405E-4</v>
      </c>
      <c r="O119">
        <v>3098</v>
      </c>
      <c r="P119" t="s">
        <v>24</v>
      </c>
      <c r="Q11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19" s="22">
        <f>_xlfn.XLOOKUP(TBL_Post_1[[#This Row],[Campaign_Name]],TBL_Campaign_Data_1[Campaign_Name],TBL_Campaign_Data_1[Start_Date])</f>
        <v>45453</v>
      </c>
      <c r="S119" s="22">
        <f>_xlfn.XLOOKUP(TBL_Post_1[[#This Row],[Campaign_Name]],TBL_Campaign_Data_1[Campaign_Name],TBL_Campaign_Data_1[End_Date])</f>
        <v>45478</v>
      </c>
    </row>
    <row r="120" spans="1:19">
      <c r="A120" t="s">
        <v>207</v>
      </c>
      <c r="B120" t="s">
        <v>31</v>
      </c>
      <c r="C120" s="22">
        <v>45584</v>
      </c>
      <c r="D120" t="s">
        <v>33</v>
      </c>
      <c r="E120" t="s">
        <v>34</v>
      </c>
      <c r="F120">
        <v>1816</v>
      </c>
      <c r="G120">
        <v>29</v>
      </c>
      <c r="H120">
        <v>41</v>
      </c>
      <c r="I120">
        <v>19976</v>
      </c>
      <c r="J120">
        <v>19262</v>
      </c>
      <c r="K120">
        <v>283</v>
      </c>
      <c r="L120" t="s">
        <v>38</v>
      </c>
      <c r="M120" s="21">
        <v>9.4413295955146206E-2</v>
      </c>
      <c r="N120" s="21">
        <v>1.4167000400480601E-2</v>
      </c>
      <c r="O120">
        <v>1886</v>
      </c>
      <c r="P120" t="s">
        <v>44</v>
      </c>
      <c r="Q12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20" s="22">
        <f>_xlfn.XLOOKUP(TBL_Post_1[[#This Row],[Campaign_Name]],TBL_Campaign_Data_1[Campaign_Name],TBL_Campaign_Data_1[Start_Date])</f>
        <v>45570</v>
      </c>
      <c r="S120" s="22">
        <f>_xlfn.XLOOKUP(TBL_Post_1[[#This Row],[Campaign_Name]],TBL_Campaign_Data_1[Campaign_Name],TBL_Campaign_Data_1[End_Date])</f>
        <v>45601</v>
      </c>
    </row>
    <row r="121" spans="1:19">
      <c r="A121" t="s">
        <v>207</v>
      </c>
      <c r="B121" t="s">
        <v>31</v>
      </c>
      <c r="C121" s="22">
        <v>45584</v>
      </c>
      <c r="D121" t="s">
        <v>33</v>
      </c>
      <c r="E121" t="s">
        <v>34</v>
      </c>
      <c r="F121">
        <v>1816</v>
      </c>
      <c r="G121">
        <v>29</v>
      </c>
      <c r="H121">
        <v>41</v>
      </c>
      <c r="I121">
        <v>19976</v>
      </c>
      <c r="J121">
        <v>19262</v>
      </c>
      <c r="K121">
        <v>283</v>
      </c>
      <c r="L121" t="s">
        <v>38</v>
      </c>
      <c r="M121" s="21">
        <v>9.4413295955146206E-2</v>
      </c>
      <c r="N121" s="21">
        <v>1.4167000400480601E-2</v>
      </c>
      <c r="O121">
        <v>1886</v>
      </c>
      <c r="P121" t="s">
        <v>18</v>
      </c>
      <c r="Q12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21" s="22">
        <f>_xlfn.XLOOKUP(TBL_Post_1[[#This Row],[Campaign_Name]],TBL_Campaign_Data_1[Campaign_Name],TBL_Campaign_Data_1[Start_Date])</f>
        <v>45570</v>
      </c>
      <c r="S121" s="22">
        <f>_xlfn.XLOOKUP(TBL_Post_1[[#This Row],[Campaign_Name]],TBL_Campaign_Data_1[Campaign_Name],TBL_Campaign_Data_1[End_Date])</f>
        <v>45601</v>
      </c>
    </row>
    <row r="122" spans="1:19">
      <c r="A122" t="s">
        <v>210</v>
      </c>
      <c r="B122" t="s">
        <v>31</v>
      </c>
      <c r="C122" s="22">
        <v>45497</v>
      </c>
      <c r="D122" t="s">
        <v>49</v>
      </c>
      <c r="E122" t="s">
        <v>50</v>
      </c>
      <c r="F122">
        <v>725</v>
      </c>
      <c r="G122">
        <v>88</v>
      </c>
      <c r="H122">
        <v>428</v>
      </c>
      <c r="I122">
        <v>14500</v>
      </c>
      <c r="J122">
        <v>13637</v>
      </c>
      <c r="K122">
        <v>200</v>
      </c>
      <c r="L122" t="s">
        <v>38</v>
      </c>
      <c r="M122" s="21">
        <v>8.5586206896551706E-2</v>
      </c>
      <c r="N122" s="21">
        <v>1.37931034482759E-2</v>
      </c>
      <c r="O122">
        <v>1241</v>
      </c>
      <c r="P122" t="s">
        <v>44</v>
      </c>
      <c r="Q12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22" s="22">
        <f>_xlfn.XLOOKUP(TBL_Post_1[[#This Row],[Campaign_Name]],TBL_Campaign_Data_1[Campaign_Name],TBL_Campaign_Data_1[Start_Date])</f>
        <v>45570</v>
      </c>
      <c r="S122" s="22">
        <f>_xlfn.XLOOKUP(TBL_Post_1[[#This Row],[Campaign_Name]],TBL_Campaign_Data_1[Campaign_Name],TBL_Campaign_Data_1[End_Date])</f>
        <v>45601</v>
      </c>
    </row>
    <row r="123" spans="1:19">
      <c r="A123" t="s">
        <v>212</v>
      </c>
      <c r="B123" t="s">
        <v>27</v>
      </c>
      <c r="C123" s="22">
        <v>45580</v>
      </c>
      <c r="D123" t="s">
        <v>69</v>
      </c>
      <c r="E123" t="s">
        <v>70</v>
      </c>
      <c r="F123">
        <v>1094</v>
      </c>
      <c r="G123">
        <v>472</v>
      </c>
      <c r="H123">
        <v>21</v>
      </c>
      <c r="I123">
        <v>9846</v>
      </c>
      <c r="J123">
        <v>9609</v>
      </c>
      <c r="K123">
        <v>112</v>
      </c>
      <c r="L123" t="s">
        <v>38</v>
      </c>
      <c r="M123" s="21">
        <v>0.161182205971968</v>
      </c>
      <c r="N123" s="21">
        <v>1.13751777371521E-2</v>
      </c>
      <c r="O123">
        <v>1587</v>
      </c>
      <c r="P123" t="s">
        <v>44</v>
      </c>
      <c r="Q12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23" s="22">
        <f>_xlfn.XLOOKUP(TBL_Post_1[[#This Row],[Campaign_Name]],TBL_Campaign_Data_1[Campaign_Name],TBL_Campaign_Data_1[Start_Date])</f>
        <v>45570</v>
      </c>
      <c r="S123" s="22">
        <f>_xlfn.XLOOKUP(TBL_Post_1[[#This Row],[Campaign_Name]],TBL_Campaign_Data_1[Campaign_Name],TBL_Campaign_Data_1[End_Date])</f>
        <v>45601</v>
      </c>
    </row>
    <row r="124" spans="1:19">
      <c r="A124" t="s">
        <v>212</v>
      </c>
      <c r="B124" t="s">
        <v>27</v>
      </c>
      <c r="C124" s="22">
        <v>45580</v>
      </c>
      <c r="D124" t="s">
        <v>69</v>
      </c>
      <c r="E124" t="s">
        <v>70</v>
      </c>
      <c r="F124">
        <v>1094</v>
      </c>
      <c r="G124">
        <v>472</v>
      </c>
      <c r="H124">
        <v>21</v>
      </c>
      <c r="I124">
        <v>9846</v>
      </c>
      <c r="J124">
        <v>9609</v>
      </c>
      <c r="K124">
        <v>112</v>
      </c>
      <c r="L124" t="s">
        <v>38</v>
      </c>
      <c r="M124" s="21">
        <v>0.161182205971968</v>
      </c>
      <c r="N124" s="21">
        <v>1.13751777371521E-2</v>
      </c>
      <c r="O124">
        <v>1587</v>
      </c>
      <c r="P124" t="s">
        <v>58</v>
      </c>
      <c r="Q12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24" s="22">
        <f>_xlfn.XLOOKUP(TBL_Post_1[[#This Row],[Campaign_Name]],TBL_Campaign_Data_1[Campaign_Name],TBL_Campaign_Data_1[Start_Date])</f>
        <v>45570</v>
      </c>
      <c r="S124" s="22">
        <f>_xlfn.XLOOKUP(TBL_Post_1[[#This Row],[Campaign_Name]],TBL_Campaign_Data_1[Campaign_Name],TBL_Campaign_Data_1[End_Date])</f>
        <v>45601</v>
      </c>
    </row>
    <row r="125" spans="1:19">
      <c r="A125" t="s">
        <v>215</v>
      </c>
      <c r="B125" t="s">
        <v>40</v>
      </c>
      <c r="C125" s="22">
        <v>45635</v>
      </c>
      <c r="D125" t="s">
        <v>49</v>
      </c>
      <c r="E125" t="s">
        <v>50</v>
      </c>
      <c r="F125">
        <v>1841</v>
      </c>
      <c r="G125">
        <v>851</v>
      </c>
      <c r="H125">
        <v>342</v>
      </c>
      <c r="I125">
        <v>34979</v>
      </c>
      <c r="J125">
        <v>34154</v>
      </c>
      <c r="K125">
        <v>255</v>
      </c>
      <c r="L125" t="s">
        <v>19</v>
      </c>
      <c r="M125" s="21">
        <v>8.6737756939878202E-2</v>
      </c>
      <c r="N125" s="21">
        <v>7.2900883387175203E-3</v>
      </c>
      <c r="O125">
        <v>3034</v>
      </c>
      <c r="P125" t="s">
        <v>24</v>
      </c>
      <c r="Q12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25" s="22">
        <f>_xlfn.XLOOKUP(TBL_Post_1[[#This Row],[Campaign_Name]],TBL_Campaign_Data_1[Campaign_Name],TBL_Campaign_Data_1[Start_Date])</f>
        <v>45505</v>
      </c>
      <c r="S125" s="22">
        <f>_xlfn.XLOOKUP(TBL_Post_1[[#This Row],[Campaign_Name]],TBL_Campaign_Data_1[Campaign_Name],TBL_Campaign_Data_1[End_Date])</f>
        <v>45535</v>
      </c>
    </row>
    <row r="126" spans="1:19">
      <c r="A126" t="s">
        <v>215</v>
      </c>
      <c r="B126" t="s">
        <v>40</v>
      </c>
      <c r="C126" s="22">
        <v>45635</v>
      </c>
      <c r="D126" t="s">
        <v>49</v>
      </c>
      <c r="E126" t="s">
        <v>50</v>
      </c>
      <c r="F126">
        <v>1841</v>
      </c>
      <c r="G126">
        <v>851</v>
      </c>
      <c r="H126">
        <v>342</v>
      </c>
      <c r="I126">
        <v>34979</v>
      </c>
      <c r="J126">
        <v>34154</v>
      </c>
      <c r="K126">
        <v>255</v>
      </c>
      <c r="L126" t="s">
        <v>19</v>
      </c>
      <c r="M126" s="21">
        <v>8.6737756939878202E-2</v>
      </c>
      <c r="N126" s="21">
        <v>7.2900883387175203E-3</v>
      </c>
      <c r="O126">
        <v>3034</v>
      </c>
      <c r="P126" t="s">
        <v>77</v>
      </c>
      <c r="Q12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26" s="22">
        <f>_xlfn.XLOOKUP(TBL_Post_1[[#This Row],[Campaign_Name]],TBL_Campaign_Data_1[Campaign_Name],TBL_Campaign_Data_1[Start_Date])</f>
        <v>45505</v>
      </c>
      <c r="S126" s="22">
        <f>_xlfn.XLOOKUP(TBL_Post_1[[#This Row],[Campaign_Name]],TBL_Campaign_Data_1[Campaign_Name],TBL_Campaign_Data_1[End_Date])</f>
        <v>45535</v>
      </c>
    </row>
    <row r="127" spans="1:19">
      <c r="A127" t="s">
        <v>217</v>
      </c>
      <c r="B127" t="s">
        <v>31</v>
      </c>
      <c r="C127" s="22">
        <v>45766</v>
      </c>
      <c r="D127" t="s">
        <v>49</v>
      </c>
      <c r="E127" t="s">
        <v>50</v>
      </c>
      <c r="F127">
        <v>4177</v>
      </c>
      <c r="G127">
        <v>569</v>
      </c>
      <c r="H127">
        <v>55</v>
      </c>
      <c r="I127">
        <v>25062</v>
      </c>
      <c r="J127">
        <v>24847</v>
      </c>
      <c r="K127">
        <v>230</v>
      </c>
      <c r="L127" t="s">
        <v>19</v>
      </c>
      <c r="M127" s="21">
        <v>0.19156491900087799</v>
      </c>
      <c r="N127" s="21">
        <v>9.1772404436996202E-3</v>
      </c>
      <c r="O127">
        <v>4801</v>
      </c>
      <c r="P127" t="s">
        <v>24</v>
      </c>
      <c r="Q12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27" s="22">
        <f>_xlfn.XLOOKUP(TBL_Post_1[[#This Row],[Campaign_Name]],TBL_Campaign_Data_1[Campaign_Name],TBL_Campaign_Data_1[Start_Date])</f>
        <v>45505</v>
      </c>
      <c r="S127" s="22">
        <f>_xlfn.XLOOKUP(TBL_Post_1[[#This Row],[Campaign_Name]],TBL_Campaign_Data_1[Campaign_Name],TBL_Campaign_Data_1[End_Date])</f>
        <v>45535</v>
      </c>
    </row>
    <row r="128" spans="1:19">
      <c r="A128" t="s">
        <v>218</v>
      </c>
      <c r="B128" t="s">
        <v>27</v>
      </c>
      <c r="C128" s="22">
        <v>45684</v>
      </c>
      <c r="D128" t="s">
        <v>22</v>
      </c>
      <c r="E128" t="s">
        <v>23</v>
      </c>
      <c r="F128">
        <v>3428</v>
      </c>
      <c r="G128">
        <v>305</v>
      </c>
      <c r="H128">
        <v>85</v>
      </c>
      <c r="I128">
        <v>58276</v>
      </c>
      <c r="J128">
        <v>58052</v>
      </c>
      <c r="K128">
        <v>242</v>
      </c>
      <c r="L128" t="s">
        <v>38</v>
      </c>
      <c r="M128" s="21">
        <v>6.5515821264328394E-2</v>
      </c>
      <c r="N128" s="21">
        <v>4.15265289312925E-3</v>
      </c>
      <c r="O128">
        <v>3818</v>
      </c>
      <c r="P128" t="s">
        <v>44</v>
      </c>
      <c r="Q12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28" s="22">
        <f>_xlfn.XLOOKUP(TBL_Post_1[[#This Row],[Campaign_Name]],TBL_Campaign_Data_1[Campaign_Name],TBL_Campaign_Data_1[Start_Date])</f>
        <v>45570</v>
      </c>
      <c r="S128" s="22">
        <f>_xlfn.XLOOKUP(TBL_Post_1[[#This Row],[Campaign_Name]],TBL_Campaign_Data_1[Campaign_Name],TBL_Campaign_Data_1[End_Date])</f>
        <v>45601</v>
      </c>
    </row>
    <row r="129" spans="1:19">
      <c r="A129" t="s">
        <v>218</v>
      </c>
      <c r="B129" t="s">
        <v>27</v>
      </c>
      <c r="C129" s="22">
        <v>45684</v>
      </c>
      <c r="D129" t="s">
        <v>22</v>
      </c>
      <c r="E129" t="s">
        <v>23</v>
      </c>
      <c r="F129">
        <v>3428</v>
      </c>
      <c r="G129">
        <v>305</v>
      </c>
      <c r="H129">
        <v>85</v>
      </c>
      <c r="I129">
        <v>58276</v>
      </c>
      <c r="J129">
        <v>58052</v>
      </c>
      <c r="K129">
        <v>242</v>
      </c>
      <c r="L129" t="s">
        <v>38</v>
      </c>
      <c r="M129" s="21">
        <v>6.5515821264328394E-2</v>
      </c>
      <c r="N129" s="21">
        <v>4.15265289312925E-3</v>
      </c>
      <c r="O129">
        <v>3818</v>
      </c>
      <c r="P129" t="s">
        <v>58</v>
      </c>
      <c r="Q12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29" s="22">
        <f>_xlfn.XLOOKUP(TBL_Post_1[[#This Row],[Campaign_Name]],TBL_Campaign_Data_1[Campaign_Name],TBL_Campaign_Data_1[Start_Date])</f>
        <v>45570</v>
      </c>
      <c r="S129" s="22">
        <f>_xlfn.XLOOKUP(TBL_Post_1[[#This Row],[Campaign_Name]],TBL_Campaign_Data_1[Campaign_Name],TBL_Campaign_Data_1[End_Date])</f>
        <v>45601</v>
      </c>
    </row>
    <row r="130" spans="1:19">
      <c r="A130" t="s">
        <v>220</v>
      </c>
      <c r="B130" t="s">
        <v>14</v>
      </c>
      <c r="C130" s="22">
        <v>45449</v>
      </c>
      <c r="D130" t="s">
        <v>69</v>
      </c>
      <c r="E130" t="s">
        <v>70</v>
      </c>
      <c r="F130">
        <v>1436</v>
      </c>
      <c r="G130">
        <v>765</v>
      </c>
      <c r="H130">
        <v>496</v>
      </c>
      <c r="I130">
        <v>12924</v>
      </c>
      <c r="J130">
        <v>12701</v>
      </c>
      <c r="K130">
        <v>197</v>
      </c>
      <c r="L130" t="s">
        <v>25</v>
      </c>
      <c r="M130" s="21">
        <v>0.20868152274837501</v>
      </c>
      <c r="N130" s="21">
        <v>1.52429588362736E-2</v>
      </c>
      <c r="O130">
        <v>2697</v>
      </c>
      <c r="P130" t="s">
        <v>44</v>
      </c>
      <c r="Q13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130" s="22">
        <f>_xlfn.XLOOKUP(TBL_Post_1[[#This Row],[Campaign_Name]],TBL_Campaign_Data_1[Campaign_Name],TBL_Campaign_Data_1[Start_Date])</f>
        <v>45453</v>
      </c>
      <c r="S130" s="22">
        <f>_xlfn.XLOOKUP(TBL_Post_1[[#This Row],[Campaign_Name]],TBL_Campaign_Data_1[Campaign_Name],TBL_Campaign_Data_1[End_Date])</f>
        <v>45478</v>
      </c>
    </row>
    <row r="131" spans="1:19">
      <c r="A131" t="s">
        <v>220</v>
      </c>
      <c r="B131" t="s">
        <v>14</v>
      </c>
      <c r="C131" s="22">
        <v>45449</v>
      </c>
      <c r="D131" t="s">
        <v>69</v>
      </c>
      <c r="E131" t="s">
        <v>70</v>
      </c>
      <c r="F131">
        <v>1436</v>
      </c>
      <c r="G131">
        <v>765</v>
      </c>
      <c r="H131">
        <v>496</v>
      </c>
      <c r="I131">
        <v>12924</v>
      </c>
      <c r="J131">
        <v>12701</v>
      </c>
      <c r="K131">
        <v>197</v>
      </c>
      <c r="L131" t="s">
        <v>25</v>
      </c>
      <c r="M131" s="21">
        <v>0.20868152274837501</v>
      </c>
      <c r="N131" s="21">
        <v>1.52429588362736E-2</v>
      </c>
      <c r="O131">
        <v>2697</v>
      </c>
      <c r="P131" t="s">
        <v>18</v>
      </c>
      <c r="Q13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131" s="22">
        <f>_xlfn.XLOOKUP(TBL_Post_1[[#This Row],[Campaign_Name]],TBL_Campaign_Data_1[Campaign_Name],TBL_Campaign_Data_1[Start_Date])</f>
        <v>45453</v>
      </c>
      <c r="S131" s="22">
        <f>_xlfn.XLOOKUP(TBL_Post_1[[#This Row],[Campaign_Name]],TBL_Campaign_Data_1[Campaign_Name],TBL_Campaign_Data_1[End_Date])</f>
        <v>45478</v>
      </c>
    </row>
    <row r="132" spans="1:19">
      <c r="A132" t="s">
        <v>222</v>
      </c>
      <c r="B132" t="s">
        <v>40</v>
      </c>
      <c r="C132" s="22">
        <v>45480</v>
      </c>
      <c r="D132" t="s">
        <v>33</v>
      </c>
      <c r="E132" t="s">
        <v>34</v>
      </c>
      <c r="F132">
        <v>302</v>
      </c>
      <c r="G132">
        <v>47</v>
      </c>
      <c r="H132">
        <v>430</v>
      </c>
      <c r="I132">
        <v>5738</v>
      </c>
      <c r="J132">
        <v>4890</v>
      </c>
      <c r="K132">
        <v>25</v>
      </c>
      <c r="L132" t="s">
        <v>25</v>
      </c>
      <c r="M132" s="21">
        <v>0.13576158940397401</v>
      </c>
      <c r="N132" s="21">
        <v>4.3569187870338101E-3</v>
      </c>
      <c r="O132">
        <v>779</v>
      </c>
      <c r="P132" t="s">
        <v>24</v>
      </c>
      <c r="Q13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32" s="22">
        <f>_xlfn.XLOOKUP(TBL_Post_1[[#This Row],[Campaign_Name]],TBL_Campaign_Data_1[Campaign_Name],TBL_Campaign_Data_1[Start_Date])</f>
        <v>45453</v>
      </c>
      <c r="S132" s="22">
        <f>_xlfn.XLOOKUP(TBL_Post_1[[#This Row],[Campaign_Name]],TBL_Campaign_Data_1[Campaign_Name],TBL_Campaign_Data_1[End_Date])</f>
        <v>45478</v>
      </c>
    </row>
    <row r="133" spans="1:19">
      <c r="A133" t="s">
        <v>222</v>
      </c>
      <c r="B133" t="s">
        <v>40</v>
      </c>
      <c r="C133" s="22">
        <v>45480</v>
      </c>
      <c r="D133" t="s">
        <v>33</v>
      </c>
      <c r="E133" t="s">
        <v>34</v>
      </c>
      <c r="F133">
        <v>302</v>
      </c>
      <c r="G133">
        <v>47</v>
      </c>
      <c r="H133">
        <v>430</v>
      </c>
      <c r="I133">
        <v>5738</v>
      </c>
      <c r="J133">
        <v>4890</v>
      </c>
      <c r="K133">
        <v>25</v>
      </c>
      <c r="L133" t="s">
        <v>25</v>
      </c>
      <c r="M133" s="21">
        <v>0.13576158940397401</v>
      </c>
      <c r="N133" s="21">
        <v>4.3569187870338101E-3</v>
      </c>
      <c r="O133">
        <v>779</v>
      </c>
      <c r="P133" t="s">
        <v>18</v>
      </c>
      <c r="Q13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33" s="22">
        <f>_xlfn.XLOOKUP(TBL_Post_1[[#This Row],[Campaign_Name]],TBL_Campaign_Data_1[Campaign_Name],TBL_Campaign_Data_1[Start_Date])</f>
        <v>45453</v>
      </c>
      <c r="S133" s="22">
        <f>_xlfn.XLOOKUP(TBL_Post_1[[#This Row],[Campaign_Name]],TBL_Campaign_Data_1[Campaign_Name],TBL_Campaign_Data_1[End_Date])</f>
        <v>45478</v>
      </c>
    </row>
    <row r="134" spans="1:19">
      <c r="A134" t="s">
        <v>224</v>
      </c>
      <c r="B134" t="s">
        <v>14</v>
      </c>
      <c r="C134" s="22">
        <v>45667</v>
      </c>
      <c r="D134" t="s">
        <v>49</v>
      </c>
      <c r="E134" t="s">
        <v>50</v>
      </c>
      <c r="F134">
        <v>2214</v>
      </c>
      <c r="G134">
        <v>249</v>
      </c>
      <c r="H134">
        <v>152</v>
      </c>
      <c r="I134">
        <v>15498</v>
      </c>
      <c r="J134">
        <v>14800</v>
      </c>
      <c r="K134">
        <v>180</v>
      </c>
      <c r="L134" t="s">
        <v>25</v>
      </c>
      <c r="M134" s="21">
        <v>0.16873144921925401</v>
      </c>
      <c r="N134" s="21">
        <v>1.1614401858304301E-2</v>
      </c>
      <c r="O134">
        <v>2615</v>
      </c>
      <c r="P134" t="s">
        <v>18</v>
      </c>
      <c r="Q13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34" s="22">
        <f>_xlfn.XLOOKUP(TBL_Post_1[[#This Row],[Campaign_Name]],TBL_Campaign_Data_1[Campaign_Name],TBL_Campaign_Data_1[Start_Date])</f>
        <v>45453</v>
      </c>
      <c r="S134" s="22">
        <f>_xlfn.XLOOKUP(TBL_Post_1[[#This Row],[Campaign_Name]],TBL_Campaign_Data_1[Campaign_Name],TBL_Campaign_Data_1[End_Date])</f>
        <v>45478</v>
      </c>
    </row>
    <row r="135" spans="1:19">
      <c r="A135" t="s">
        <v>226</v>
      </c>
      <c r="B135" t="s">
        <v>31</v>
      </c>
      <c r="C135" s="22">
        <v>45446</v>
      </c>
      <c r="D135" t="s">
        <v>49</v>
      </c>
      <c r="E135" t="s">
        <v>50</v>
      </c>
      <c r="F135">
        <v>3861</v>
      </c>
      <c r="G135">
        <v>960</v>
      </c>
      <c r="H135">
        <v>101</v>
      </c>
      <c r="I135">
        <v>69498</v>
      </c>
      <c r="J135">
        <v>68817</v>
      </c>
      <c r="K135">
        <v>297</v>
      </c>
      <c r="L135" t="s">
        <v>25</v>
      </c>
      <c r="M135" s="21">
        <v>7.0822181933292996E-2</v>
      </c>
      <c r="N135" s="21">
        <v>4.2735042735042696E-3</v>
      </c>
      <c r="O135">
        <v>4922</v>
      </c>
      <c r="P135" t="s">
        <v>24</v>
      </c>
      <c r="Q13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135" s="22">
        <f>_xlfn.XLOOKUP(TBL_Post_1[[#This Row],[Campaign_Name]],TBL_Campaign_Data_1[Campaign_Name],TBL_Campaign_Data_1[Start_Date])</f>
        <v>45453</v>
      </c>
      <c r="S135" s="22">
        <f>_xlfn.XLOOKUP(TBL_Post_1[[#This Row],[Campaign_Name]],TBL_Campaign_Data_1[Campaign_Name],TBL_Campaign_Data_1[End_Date])</f>
        <v>45478</v>
      </c>
    </row>
    <row r="136" spans="1:19">
      <c r="A136" t="s">
        <v>228</v>
      </c>
      <c r="B136" t="s">
        <v>40</v>
      </c>
      <c r="C136" s="22">
        <v>45740</v>
      </c>
      <c r="D136" t="s">
        <v>49</v>
      </c>
      <c r="E136" t="s">
        <v>50</v>
      </c>
      <c r="F136">
        <v>1263</v>
      </c>
      <c r="G136">
        <v>397</v>
      </c>
      <c r="H136">
        <v>357</v>
      </c>
      <c r="I136">
        <v>25260</v>
      </c>
      <c r="J136">
        <v>24615</v>
      </c>
      <c r="K136">
        <v>137</v>
      </c>
      <c r="L136" t="s">
        <v>25</v>
      </c>
      <c r="M136" s="21">
        <v>7.9849564528899394E-2</v>
      </c>
      <c r="N136" s="21">
        <v>5.4235946159936696E-3</v>
      </c>
      <c r="O136">
        <v>2017</v>
      </c>
      <c r="P136" t="s">
        <v>18</v>
      </c>
      <c r="Q13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36" s="22">
        <f>_xlfn.XLOOKUP(TBL_Post_1[[#This Row],[Campaign_Name]],TBL_Campaign_Data_1[Campaign_Name],TBL_Campaign_Data_1[Start_Date])</f>
        <v>45453</v>
      </c>
      <c r="S136" s="22">
        <f>_xlfn.XLOOKUP(TBL_Post_1[[#This Row],[Campaign_Name]],TBL_Campaign_Data_1[Campaign_Name],TBL_Campaign_Data_1[End_Date])</f>
        <v>45478</v>
      </c>
    </row>
    <row r="137" spans="1:19">
      <c r="A137" t="s">
        <v>230</v>
      </c>
      <c r="B137" t="s">
        <v>14</v>
      </c>
      <c r="C137" s="22">
        <v>45586</v>
      </c>
      <c r="D137" t="s">
        <v>33</v>
      </c>
      <c r="E137" t="s">
        <v>34</v>
      </c>
      <c r="F137">
        <v>3801</v>
      </c>
      <c r="G137">
        <v>967</v>
      </c>
      <c r="H137">
        <v>401</v>
      </c>
      <c r="I137">
        <v>38010</v>
      </c>
      <c r="J137">
        <v>37625</v>
      </c>
      <c r="K137">
        <v>236</v>
      </c>
      <c r="L137" t="s">
        <v>55</v>
      </c>
      <c r="M137" s="21">
        <v>0.135990528808208</v>
      </c>
      <c r="N137" s="21">
        <v>6.2088923967376997E-3</v>
      </c>
      <c r="O137">
        <v>5169</v>
      </c>
      <c r="P137" t="s">
        <v>58</v>
      </c>
      <c r="Q13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37" s="22">
        <f>_xlfn.XLOOKUP(TBL_Post_1[[#This Row],[Campaign_Name]],TBL_Campaign_Data_1[Campaign_Name],TBL_Campaign_Data_1[Start_Date])</f>
        <v>45667</v>
      </c>
      <c r="S137" s="22">
        <f>_xlfn.XLOOKUP(TBL_Post_1[[#This Row],[Campaign_Name]],TBL_Campaign_Data_1[Campaign_Name],TBL_Campaign_Data_1[End_Date])</f>
        <v>45698</v>
      </c>
    </row>
    <row r="138" spans="1:19">
      <c r="A138" t="s">
        <v>231</v>
      </c>
      <c r="B138" t="s">
        <v>31</v>
      </c>
      <c r="C138" s="22">
        <v>45637</v>
      </c>
      <c r="D138" t="s">
        <v>69</v>
      </c>
      <c r="E138" t="s">
        <v>70</v>
      </c>
      <c r="F138">
        <v>1431</v>
      </c>
      <c r="G138">
        <v>951</v>
      </c>
      <c r="H138">
        <v>26</v>
      </c>
      <c r="I138">
        <v>8586</v>
      </c>
      <c r="J138">
        <v>8396</v>
      </c>
      <c r="K138">
        <v>150</v>
      </c>
      <c r="L138" t="s">
        <v>19</v>
      </c>
      <c r="M138" s="21">
        <v>0.28045655718611701</v>
      </c>
      <c r="N138" s="21">
        <v>1.7470300489168401E-2</v>
      </c>
      <c r="O138">
        <v>2408</v>
      </c>
      <c r="P138" t="s">
        <v>44</v>
      </c>
      <c r="Q13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38" s="22">
        <f>_xlfn.XLOOKUP(TBL_Post_1[[#This Row],[Campaign_Name]],TBL_Campaign_Data_1[Campaign_Name],TBL_Campaign_Data_1[Start_Date])</f>
        <v>45505</v>
      </c>
      <c r="S138" s="22">
        <f>_xlfn.XLOOKUP(TBL_Post_1[[#This Row],[Campaign_Name]],TBL_Campaign_Data_1[Campaign_Name],TBL_Campaign_Data_1[End_Date])</f>
        <v>45535</v>
      </c>
    </row>
    <row r="139" spans="1:19">
      <c r="A139" t="s">
        <v>231</v>
      </c>
      <c r="B139" t="s">
        <v>31</v>
      </c>
      <c r="C139" s="22">
        <v>45637</v>
      </c>
      <c r="D139" t="s">
        <v>69</v>
      </c>
      <c r="E139" t="s">
        <v>70</v>
      </c>
      <c r="F139">
        <v>1431</v>
      </c>
      <c r="G139">
        <v>951</v>
      </c>
      <c r="H139">
        <v>26</v>
      </c>
      <c r="I139">
        <v>8586</v>
      </c>
      <c r="J139">
        <v>8396</v>
      </c>
      <c r="K139">
        <v>150</v>
      </c>
      <c r="L139" t="s">
        <v>19</v>
      </c>
      <c r="M139" s="21">
        <v>0.28045655718611701</v>
      </c>
      <c r="N139" s="21">
        <v>1.7470300489168401E-2</v>
      </c>
      <c r="O139">
        <v>2408</v>
      </c>
      <c r="P139" t="s">
        <v>77</v>
      </c>
      <c r="Q13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39" s="22">
        <f>_xlfn.XLOOKUP(TBL_Post_1[[#This Row],[Campaign_Name]],TBL_Campaign_Data_1[Campaign_Name],TBL_Campaign_Data_1[Start_Date])</f>
        <v>45505</v>
      </c>
      <c r="S139" s="22">
        <f>_xlfn.XLOOKUP(TBL_Post_1[[#This Row],[Campaign_Name]],TBL_Campaign_Data_1[Campaign_Name],TBL_Campaign_Data_1[End_Date])</f>
        <v>45535</v>
      </c>
    </row>
    <row r="140" spans="1:19">
      <c r="A140" t="s">
        <v>233</v>
      </c>
      <c r="B140" t="s">
        <v>31</v>
      </c>
      <c r="C140" s="22">
        <v>45603</v>
      </c>
      <c r="D140" t="s">
        <v>49</v>
      </c>
      <c r="E140" t="s">
        <v>50</v>
      </c>
      <c r="F140">
        <v>2647</v>
      </c>
      <c r="G140">
        <v>304</v>
      </c>
      <c r="H140">
        <v>170</v>
      </c>
      <c r="I140">
        <v>18529</v>
      </c>
      <c r="J140">
        <v>17841</v>
      </c>
      <c r="K140">
        <v>46</v>
      </c>
      <c r="L140" t="s">
        <v>25</v>
      </c>
      <c r="M140" s="21">
        <v>0.16843866371633701</v>
      </c>
      <c r="N140" s="21">
        <v>2.4825948513141601E-3</v>
      </c>
      <c r="O140">
        <v>3121</v>
      </c>
      <c r="P140" t="s">
        <v>58</v>
      </c>
      <c r="Q14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40" s="22">
        <f>_xlfn.XLOOKUP(TBL_Post_1[[#This Row],[Campaign_Name]],TBL_Campaign_Data_1[Campaign_Name],TBL_Campaign_Data_1[Start_Date])</f>
        <v>45453</v>
      </c>
      <c r="S140" s="22">
        <f>_xlfn.XLOOKUP(TBL_Post_1[[#This Row],[Campaign_Name]],TBL_Campaign_Data_1[Campaign_Name],TBL_Campaign_Data_1[End_Date])</f>
        <v>45478</v>
      </c>
    </row>
    <row r="141" spans="1:19">
      <c r="A141" t="s">
        <v>234</v>
      </c>
      <c r="B141" t="s">
        <v>31</v>
      </c>
      <c r="C141" s="22">
        <v>45604</v>
      </c>
      <c r="D141" t="s">
        <v>22</v>
      </c>
      <c r="E141" t="s">
        <v>23</v>
      </c>
      <c r="F141">
        <v>3182</v>
      </c>
      <c r="G141">
        <v>559</v>
      </c>
      <c r="H141">
        <v>160</v>
      </c>
      <c r="I141">
        <v>57276</v>
      </c>
      <c r="J141">
        <v>56890</v>
      </c>
      <c r="K141">
        <v>163</v>
      </c>
      <c r="L141" t="s">
        <v>25</v>
      </c>
      <c r="M141" s="21">
        <v>6.8108806480899495E-2</v>
      </c>
      <c r="N141" s="21">
        <v>2.84586912493889E-3</v>
      </c>
      <c r="O141">
        <v>3901</v>
      </c>
      <c r="P141" t="s">
        <v>58</v>
      </c>
      <c r="Q14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41" s="22">
        <f>_xlfn.XLOOKUP(TBL_Post_1[[#This Row],[Campaign_Name]],TBL_Campaign_Data_1[Campaign_Name],TBL_Campaign_Data_1[Start_Date])</f>
        <v>45453</v>
      </c>
      <c r="S141" s="22">
        <f>_xlfn.XLOOKUP(TBL_Post_1[[#This Row],[Campaign_Name]],TBL_Campaign_Data_1[Campaign_Name],TBL_Campaign_Data_1[End_Date])</f>
        <v>45478</v>
      </c>
    </row>
    <row r="142" spans="1:19">
      <c r="A142" t="s">
        <v>234</v>
      </c>
      <c r="B142" t="s">
        <v>31</v>
      </c>
      <c r="C142" s="22">
        <v>45604</v>
      </c>
      <c r="D142" t="s">
        <v>22</v>
      </c>
      <c r="E142" t="s">
        <v>23</v>
      </c>
      <c r="F142">
        <v>3182</v>
      </c>
      <c r="G142">
        <v>559</v>
      </c>
      <c r="H142">
        <v>160</v>
      </c>
      <c r="I142">
        <v>57276</v>
      </c>
      <c r="J142">
        <v>56890</v>
      </c>
      <c r="K142">
        <v>163</v>
      </c>
      <c r="L142" t="s">
        <v>25</v>
      </c>
      <c r="M142" s="21">
        <v>6.8108806480899495E-2</v>
      </c>
      <c r="N142" s="21">
        <v>2.84586912493889E-3</v>
      </c>
      <c r="O142">
        <v>3901</v>
      </c>
      <c r="P142" t="s">
        <v>44</v>
      </c>
      <c r="Q14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42" s="22">
        <f>_xlfn.XLOOKUP(TBL_Post_1[[#This Row],[Campaign_Name]],TBL_Campaign_Data_1[Campaign_Name],TBL_Campaign_Data_1[Start_Date])</f>
        <v>45453</v>
      </c>
      <c r="S142" s="22">
        <f>_xlfn.XLOOKUP(TBL_Post_1[[#This Row],[Campaign_Name]],TBL_Campaign_Data_1[Campaign_Name],TBL_Campaign_Data_1[End_Date])</f>
        <v>45478</v>
      </c>
    </row>
    <row r="143" spans="1:19">
      <c r="A143" t="s">
        <v>236</v>
      </c>
      <c r="B143" t="s">
        <v>14</v>
      </c>
      <c r="C143" s="22">
        <v>45545</v>
      </c>
      <c r="D143" t="s">
        <v>49</v>
      </c>
      <c r="E143" t="s">
        <v>50</v>
      </c>
      <c r="F143">
        <v>1238</v>
      </c>
      <c r="G143">
        <v>366</v>
      </c>
      <c r="H143">
        <v>444</v>
      </c>
      <c r="I143">
        <v>19808</v>
      </c>
      <c r="J143">
        <v>19334</v>
      </c>
      <c r="K143">
        <v>123</v>
      </c>
      <c r="L143" t="s">
        <v>38</v>
      </c>
      <c r="M143" s="21">
        <v>0.10339256865912801</v>
      </c>
      <c r="N143" s="21">
        <v>6.20961227786753E-3</v>
      </c>
      <c r="O143">
        <v>2048</v>
      </c>
      <c r="P143" t="s">
        <v>77</v>
      </c>
      <c r="Q14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43" s="22">
        <f>_xlfn.XLOOKUP(TBL_Post_1[[#This Row],[Campaign_Name]],TBL_Campaign_Data_1[Campaign_Name],TBL_Campaign_Data_1[Start_Date])</f>
        <v>45570</v>
      </c>
      <c r="S143" s="22">
        <f>_xlfn.XLOOKUP(TBL_Post_1[[#This Row],[Campaign_Name]],TBL_Campaign_Data_1[Campaign_Name],TBL_Campaign_Data_1[End_Date])</f>
        <v>45601</v>
      </c>
    </row>
    <row r="144" spans="1:19">
      <c r="A144" t="s">
        <v>238</v>
      </c>
      <c r="B144" t="s">
        <v>31</v>
      </c>
      <c r="C144" s="22">
        <v>45517</v>
      </c>
      <c r="D144" t="s">
        <v>49</v>
      </c>
      <c r="E144" t="s">
        <v>50</v>
      </c>
      <c r="F144">
        <v>4739</v>
      </c>
      <c r="G144">
        <v>527</v>
      </c>
      <c r="H144">
        <v>135</v>
      </c>
      <c r="I144">
        <v>61607</v>
      </c>
      <c r="J144">
        <v>61333</v>
      </c>
      <c r="K144">
        <v>36</v>
      </c>
      <c r="L144" t="s">
        <v>25</v>
      </c>
      <c r="M144" s="21">
        <v>8.7668609086629795E-2</v>
      </c>
      <c r="N144" s="21">
        <v>5.8434918109955003E-4</v>
      </c>
      <c r="O144">
        <v>5401</v>
      </c>
      <c r="P144" t="s">
        <v>58</v>
      </c>
      <c r="Q14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44" s="22">
        <f>_xlfn.XLOOKUP(TBL_Post_1[[#This Row],[Campaign_Name]],TBL_Campaign_Data_1[Campaign_Name],TBL_Campaign_Data_1[Start_Date])</f>
        <v>45453</v>
      </c>
      <c r="S144" s="22">
        <f>_xlfn.XLOOKUP(TBL_Post_1[[#This Row],[Campaign_Name]],TBL_Campaign_Data_1[Campaign_Name],TBL_Campaign_Data_1[End_Date])</f>
        <v>45478</v>
      </c>
    </row>
    <row r="145" spans="1:19">
      <c r="A145" t="s">
        <v>238</v>
      </c>
      <c r="B145" t="s">
        <v>31</v>
      </c>
      <c r="C145" s="22">
        <v>45517</v>
      </c>
      <c r="D145" t="s">
        <v>49</v>
      </c>
      <c r="E145" t="s">
        <v>50</v>
      </c>
      <c r="F145">
        <v>4739</v>
      </c>
      <c r="G145">
        <v>527</v>
      </c>
      <c r="H145">
        <v>135</v>
      </c>
      <c r="I145">
        <v>61607</v>
      </c>
      <c r="J145">
        <v>61333</v>
      </c>
      <c r="K145">
        <v>36</v>
      </c>
      <c r="L145" t="s">
        <v>25</v>
      </c>
      <c r="M145" s="21">
        <v>8.7668609086629795E-2</v>
      </c>
      <c r="N145" s="21">
        <v>5.8434918109955003E-4</v>
      </c>
      <c r="O145">
        <v>5401</v>
      </c>
      <c r="P145" t="s">
        <v>18</v>
      </c>
      <c r="Q14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45" s="22">
        <f>_xlfn.XLOOKUP(TBL_Post_1[[#This Row],[Campaign_Name]],TBL_Campaign_Data_1[Campaign_Name],TBL_Campaign_Data_1[Start_Date])</f>
        <v>45453</v>
      </c>
      <c r="S145" s="22">
        <f>_xlfn.XLOOKUP(TBL_Post_1[[#This Row],[Campaign_Name]],TBL_Campaign_Data_1[Campaign_Name],TBL_Campaign_Data_1[End_Date])</f>
        <v>45478</v>
      </c>
    </row>
    <row r="146" spans="1:19">
      <c r="A146" t="s">
        <v>240</v>
      </c>
      <c r="B146" t="s">
        <v>14</v>
      </c>
      <c r="C146" s="22">
        <v>45453</v>
      </c>
      <c r="D146" t="s">
        <v>33</v>
      </c>
      <c r="E146" t="s">
        <v>34</v>
      </c>
      <c r="F146">
        <v>1575</v>
      </c>
      <c r="G146">
        <v>771</v>
      </c>
      <c r="H146">
        <v>486</v>
      </c>
      <c r="I146">
        <v>25200</v>
      </c>
      <c r="J146">
        <v>24826</v>
      </c>
      <c r="K146">
        <v>17</v>
      </c>
      <c r="L146" t="s">
        <v>38</v>
      </c>
      <c r="M146" s="21">
        <v>0.112380952380952</v>
      </c>
      <c r="N146" s="21">
        <v>6.7460317460317498E-4</v>
      </c>
      <c r="O146">
        <v>2832</v>
      </c>
      <c r="P146" t="s">
        <v>58</v>
      </c>
      <c r="Q14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46" s="22">
        <f>_xlfn.XLOOKUP(TBL_Post_1[[#This Row],[Campaign_Name]],TBL_Campaign_Data_1[Campaign_Name],TBL_Campaign_Data_1[Start_Date])</f>
        <v>45570</v>
      </c>
      <c r="S146" s="22">
        <f>_xlfn.XLOOKUP(TBL_Post_1[[#This Row],[Campaign_Name]],TBL_Campaign_Data_1[Campaign_Name],TBL_Campaign_Data_1[End_Date])</f>
        <v>45601</v>
      </c>
    </row>
    <row r="147" spans="1:19">
      <c r="A147" t="s">
        <v>241</v>
      </c>
      <c r="B147" t="s">
        <v>27</v>
      </c>
      <c r="C147" s="22">
        <v>45475</v>
      </c>
      <c r="D147" t="s">
        <v>42</v>
      </c>
      <c r="E147" t="s">
        <v>43</v>
      </c>
      <c r="F147">
        <v>4171</v>
      </c>
      <c r="G147">
        <v>548</v>
      </c>
      <c r="H147">
        <v>86</v>
      </c>
      <c r="I147">
        <v>66736</v>
      </c>
      <c r="J147">
        <v>66634</v>
      </c>
      <c r="K147">
        <v>173</v>
      </c>
      <c r="L147" t="s">
        <v>38</v>
      </c>
      <c r="M147" s="21">
        <v>7.2000119875329602E-2</v>
      </c>
      <c r="N147" s="21">
        <v>2.5923040038360102E-3</v>
      </c>
      <c r="O147">
        <v>4805</v>
      </c>
      <c r="P147" t="s">
        <v>58</v>
      </c>
      <c r="Q14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47" s="22">
        <f>_xlfn.XLOOKUP(TBL_Post_1[[#This Row],[Campaign_Name]],TBL_Campaign_Data_1[Campaign_Name],TBL_Campaign_Data_1[Start_Date])</f>
        <v>45570</v>
      </c>
      <c r="S147" s="22">
        <f>_xlfn.XLOOKUP(TBL_Post_1[[#This Row],[Campaign_Name]],TBL_Campaign_Data_1[Campaign_Name],TBL_Campaign_Data_1[End_Date])</f>
        <v>45601</v>
      </c>
    </row>
    <row r="148" spans="1:19">
      <c r="A148" t="s">
        <v>243</v>
      </c>
      <c r="B148" t="s">
        <v>27</v>
      </c>
      <c r="C148" s="22">
        <v>45698</v>
      </c>
      <c r="D148" t="s">
        <v>69</v>
      </c>
      <c r="E148" t="s">
        <v>70</v>
      </c>
      <c r="F148">
        <v>1766</v>
      </c>
      <c r="G148">
        <v>92</v>
      </c>
      <c r="H148">
        <v>424</v>
      </c>
      <c r="I148">
        <v>24724</v>
      </c>
      <c r="J148">
        <v>24333</v>
      </c>
      <c r="K148">
        <v>52</v>
      </c>
      <c r="L148" t="s">
        <v>19</v>
      </c>
      <c r="M148" s="21">
        <v>9.2298980747451895E-2</v>
      </c>
      <c r="N148" s="21">
        <v>2.1032195437631399E-3</v>
      </c>
      <c r="O148">
        <v>2282</v>
      </c>
      <c r="P148" t="s">
        <v>58</v>
      </c>
      <c r="Q14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48" s="22">
        <f>_xlfn.XLOOKUP(TBL_Post_1[[#This Row],[Campaign_Name]],TBL_Campaign_Data_1[Campaign_Name],TBL_Campaign_Data_1[Start_Date])</f>
        <v>45505</v>
      </c>
      <c r="S148" s="22">
        <f>_xlfn.XLOOKUP(TBL_Post_1[[#This Row],[Campaign_Name]],TBL_Campaign_Data_1[Campaign_Name],TBL_Campaign_Data_1[End_Date])</f>
        <v>45535</v>
      </c>
    </row>
    <row r="149" spans="1:19">
      <c r="A149" t="s">
        <v>245</v>
      </c>
      <c r="B149" t="s">
        <v>27</v>
      </c>
      <c r="C149" s="22">
        <v>45583</v>
      </c>
      <c r="D149" t="s">
        <v>69</v>
      </c>
      <c r="E149" t="s">
        <v>70</v>
      </c>
      <c r="F149">
        <v>4450</v>
      </c>
      <c r="G149">
        <v>983</v>
      </c>
      <c r="H149">
        <v>143</v>
      </c>
      <c r="I149">
        <v>75650</v>
      </c>
      <c r="J149">
        <v>75008</v>
      </c>
      <c r="K149">
        <v>12</v>
      </c>
      <c r="L149" t="s">
        <v>25</v>
      </c>
      <c r="M149" s="21">
        <v>7.3707865168539305E-2</v>
      </c>
      <c r="N149" s="21">
        <v>1.5862524785195E-4</v>
      </c>
      <c r="O149">
        <v>5576</v>
      </c>
      <c r="P149" t="s">
        <v>18</v>
      </c>
      <c r="Q14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49" s="22">
        <f>_xlfn.XLOOKUP(TBL_Post_1[[#This Row],[Campaign_Name]],TBL_Campaign_Data_1[Campaign_Name],TBL_Campaign_Data_1[Start_Date])</f>
        <v>45453</v>
      </c>
      <c r="S149" s="22">
        <f>_xlfn.XLOOKUP(TBL_Post_1[[#This Row],[Campaign_Name]],TBL_Campaign_Data_1[Campaign_Name],TBL_Campaign_Data_1[End_Date])</f>
        <v>45478</v>
      </c>
    </row>
    <row r="150" spans="1:19">
      <c r="A150" t="s">
        <v>245</v>
      </c>
      <c r="B150" t="s">
        <v>27</v>
      </c>
      <c r="C150" s="22">
        <v>45583</v>
      </c>
      <c r="D150" t="s">
        <v>69</v>
      </c>
      <c r="E150" t="s">
        <v>70</v>
      </c>
      <c r="F150">
        <v>4450</v>
      </c>
      <c r="G150">
        <v>983</v>
      </c>
      <c r="H150">
        <v>143</v>
      </c>
      <c r="I150">
        <v>75650</v>
      </c>
      <c r="J150">
        <v>75008</v>
      </c>
      <c r="K150">
        <v>12</v>
      </c>
      <c r="L150" t="s">
        <v>25</v>
      </c>
      <c r="M150" s="21">
        <v>7.3707865168539305E-2</v>
      </c>
      <c r="N150" s="21">
        <v>1.5862524785195E-4</v>
      </c>
      <c r="O150">
        <v>5576</v>
      </c>
      <c r="P150" t="s">
        <v>58</v>
      </c>
      <c r="Q15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50" s="22">
        <f>_xlfn.XLOOKUP(TBL_Post_1[[#This Row],[Campaign_Name]],TBL_Campaign_Data_1[Campaign_Name],TBL_Campaign_Data_1[Start_Date])</f>
        <v>45453</v>
      </c>
      <c r="S150" s="22">
        <f>_xlfn.XLOOKUP(TBL_Post_1[[#This Row],[Campaign_Name]],TBL_Campaign_Data_1[Campaign_Name],TBL_Campaign_Data_1[End_Date])</f>
        <v>45478</v>
      </c>
    </row>
    <row r="151" spans="1:19">
      <c r="A151" t="s">
        <v>246</v>
      </c>
      <c r="B151" t="s">
        <v>14</v>
      </c>
      <c r="C151" s="22">
        <v>45553</v>
      </c>
      <c r="D151" t="s">
        <v>16</v>
      </c>
      <c r="E151" t="s">
        <v>17</v>
      </c>
      <c r="F151">
        <v>1000</v>
      </c>
      <c r="G151">
        <v>978</v>
      </c>
      <c r="H151">
        <v>162</v>
      </c>
      <c r="I151">
        <v>6000</v>
      </c>
      <c r="J151">
        <v>5221</v>
      </c>
      <c r="K151">
        <v>223</v>
      </c>
      <c r="L151" t="s">
        <v>38</v>
      </c>
      <c r="M151" s="21">
        <v>0.35666666666666702</v>
      </c>
      <c r="N151" s="21">
        <v>3.7166666666666702E-2</v>
      </c>
      <c r="O151">
        <v>2140</v>
      </c>
      <c r="P151" t="s">
        <v>44</v>
      </c>
      <c r="Q15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51" s="22">
        <f>_xlfn.XLOOKUP(TBL_Post_1[[#This Row],[Campaign_Name]],TBL_Campaign_Data_1[Campaign_Name],TBL_Campaign_Data_1[Start_Date])</f>
        <v>45570</v>
      </c>
      <c r="S151" s="22">
        <f>_xlfn.XLOOKUP(TBL_Post_1[[#This Row],[Campaign_Name]],TBL_Campaign_Data_1[Campaign_Name],TBL_Campaign_Data_1[End_Date])</f>
        <v>45601</v>
      </c>
    </row>
    <row r="152" spans="1:19">
      <c r="A152" t="s">
        <v>246</v>
      </c>
      <c r="B152" t="s">
        <v>14</v>
      </c>
      <c r="C152" s="22">
        <v>45553</v>
      </c>
      <c r="D152" t="s">
        <v>16</v>
      </c>
      <c r="E152" t="s">
        <v>17</v>
      </c>
      <c r="F152">
        <v>1000</v>
      </c>
      <c r="G152">
        <v>978</v>
      </c>
      <c r="H152">
        <v>162</v>
      </c>
      <c r="I152">
        <v>6000</v>
      </c>
      <c r="J152">
        <v>5221</v>
      </c>
      <c r="K152">
        <v>223</v>
      </c>
      <c r="L152" t="s">
        <v>38</v>
      </c>
      <c r="M152" s="21">
        <v>0.35666666666666702</v>
      </c>
      <c r="N152" s="21">
        <v>3.7166666666666702E-2</v>
      </c>
      <c r="O152">
        <v>2140</v>
      </c>
      <c r="P152" t="s">
        <v>24</v>
      </c>
      <c r="Q15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52" s="22">
        <f>_xlfn.XLOOKUP(TBL_Post_1[[#This Row],[Campaign_Name]],TBL_Campaign_Data_1[Campaign_Name],TBL_Campaign_Data_1[Start_Date])</f>
        <v>45570</v>
      </c>
      <c r="S152" s="22">
        <f>_xlfn.XLOOKUP(TBL_Post_1[[#This Row],[Campaign_Name]],TBL_Campaign_Data_1[Campaign_Name],TBL_Campaign_Data_1[End_Date])</f>
        <v>45601</v>
      </c>
    </row>
    <row r="153" spans="1:19">
      <c r="A153" t="s">
        <v>248</v>
      </c>
      <c r="B153" t="s">
        <v>40</v>
      </c>
      <c r="C153" s="22">
        <v>45454</v>
      </c>
      <c r="D153" t="s">
        <v>49</v>
      </c>
      <c r="E153" t="s">
        <v>50</v>
      </c>
      <c r="F153">
        <v>3689</v>
      </c>
      <c r="G153">
        <v>48</v>
      </c>
      <c r="H153">
        <v>306</v>
      </c>
      <c r="I153">
        <v>40579</v>
      </c>
      <c r="J153">
        <v>39588</v>
      </c>
      <c r="K153">
        <v>212</v>
      </c>
      <c r="L153" t="s">
        <v>19</v>
      </c>
      <c r="M153" s="21">
        <v>9.9632815002833996E-2</v>
      </c>
      <c r="N153" s="21">
        <v>5.2243771408856804E-3</v>
      </c>
      <c r="O153">
        <v>4043</v>
      </c>
      <c r="P153" t="s">
        <v>44</v>
      </c>
      <c r="Q15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53" s="22">
        <f>_xlfn.XLOOKUP(TBL_Post_1[[#This Row],[Campaign_Name]],TBL_Campaign_Data_1[Campaign_Name],TBL_Campaign_Data_1[Start_Date])</f>
        <v>45505</v>
      </c>
      <c r="S153" s="22">
        <f>_xlfn.XLOOKUP(TBL_Post_1[[#This Row],[Campaign_Name]],TBL_Campaign_Data_1[Campaign_Name],TBL_Campaign_Data_1[End_Date])</f>
        <v>45535</v>
      </c>
    </row>
    <row r="154" spans="1:19">
      <c r="A154" t="s">
        <v>250</v>
      </c>
      <c r="B154" t="s">
        <v>27</v>
      </c>
      <c r="C154" s="22">
        <v>45739</v>
      </c>
      <c r="D154" t="s">
        <v>33</v>
      </c>
      <c r="E154" t="s">
        <v>34</v>
      </c>
      <c r="F154">
        <v>3655</v>
      </c>
      <c r="G154">
        <v>568</v>
      </c>
      <c r="H154">
        <v>286</v>
      </c>
      <c r="I154">
        <v>32895</v>
      </c>
      <c r="J154">
        <v>32015</v>
      </c>
      <c r="K154">
        <v>199</v>
      </c>
      <c r="L154" t="s">
        <v>55</v>
      </c>
      <c r="M154" s="21">
        <v>0.13707250341997301</v>
      </c>
      <c r="N154" s="21">
        <v>6.0495516035871701E-3</v>
      </c>
      <c r="O154">
        <v>4509</v>
      </c>
      <c r="P154" t="s">
        <v>44</v>
      </c>
      <c r="Q15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54" s="22">
        <f>_xlfn.XLOOKUP(TBL_Post_1[[#This Row],[Campaign_Name]],TBL_Campaign_Data_1[Campaign_Name],TBL_Campaign_Data_1[Start_Date])</f>
        <v>45667</v>
      </c>
      <c r="S154" s="22">
        <f>_xlfn.XLOOKUP(TBL_Post_1[[#This Row],[Campaign_Name]],TBL_Campaign_Data_1[Campaign_Name],TBL_Campaign_Data_1[End_Date])</f>
        <v>45698</v>
      </c>
    </row>
    <row r="155" spans="1:19">
      <c r="A155" t="s">
        <v>252</v>
      </c>
      <c r="B155" t="s">
        <v>31</v>
      </c>
      <c r="C155" s="22">
        <v>45457</v>
      </c>
      <c r="D155" t="s">
        <v>42</v>
      </c>
      <c r="E155" t="s">
        <v>43</v>
      </c>
      <c r="F155">
        <v>498</v>
      </c>
      <c r="G155">
        <v>38</v>
      </c>
      <c r="H155">
        <v>42</v>
      </c>
      <c r="I155">
        <v>4482</v>
      </c>
      <c r="J155">
        <v>3647</v>
      </c>
      <c r="K155">
        <v>32</v>
      </c>
      <c r="L155" t="s">
        <v>55</v>
      </c>
      <c r="M155" s="21">
        <v>0.12896028558679201</v>
      </c>
      <c r="N155" s="21">
        <v>7.1396697902721996E-3</v>
      </c>
      <c r="O155">
        <v>578</v>
      </c>
      <c r="P155" t="s">
        <v>58</v>
      </c>
      <c r="Q15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55" s="22">
        <f>_xlfn.XLOOKUP(TBL_Post_1[[#This Row],[Campaign_Name]],TBL_Campaign_Data_1[Campaign_Name],TBL_Campaign_Data_1[Start_Date])</f>
        <v>45667</v>
      </c>
      <c r="S155" s="22">
        <f>_xlfn.XLOOKUP(TBL_Post_1[[#This Row],[Campaign_Name]],TBL_Campaign_Data_1[Campaign_Name],TBL_Campaign_Data_1[End_Date])</f>
        <v>45698</v>
      </c>
    </row>
    <row r="156" spans="1:19">
      <c r="A156" t="s">
        <v>252</v>
      </c>
      <c r="B156" t="s">
        <v>31</v>
      </c>
      <c r="C156" s="22">
        <v>45457</v>
      </c>
      <c r="D156" t="s">
        <v>42</v>
      </c>
      <c r="E156" t="s">
        <v>43</v>
      </c>
      <c r="F156">
        <v>498</v>
      </c>
      <c r="G156">
        <v>38</v>
      </c>
      <c r="H156">
        <v>42</v>
      </c>
      <c r="I156">
        <v>4482</v>
      </c>
      <c r="J156">
        <v>3647</v>
      </c>
      <c r="K156">
        <v>32</v>
      </c>
      <c r="L156" t="s">
        <v>55</v>
      </c>
      <c r="M156" s="21">
        <v>0.12896028558679201</v>
      </c>
      <c r="N156" s="21">
        <v>7.1396697902721996E-3</v>
      </c>
      <c r="O156">
        <v>578</v>
      </c>
      <c r="P156" t="s">
        <v>77</v>
      </c>
      <c r="Q15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56" s="22">
        <f>_xlfn.XLOOKUP(TBL_Post_1[[#This Row],[Campaign_Name]],TBL_Campaign_Data_1[Campaign_Name],TBL_Campaign_Data_1[Start_Date])</f>
        <v>45667</v>
      </c>
      <c r="S156" s="22">
        <f>_xlfn.XLOOKUP(TBL_Post_1[[#This Row],[Campaign_Name]],TBL_Campaign_Data_1[Campaign_Name],TBL_Campaign_Data_1[End_Date])</f>
        <v>45698</v>
      </c>
    </row>
    <row r="157" spans="1:19">
      <c r="A157" t="s">
        <v>254</v>
      </c>
      <c r="B157" t="s">
        <v>31</v>
      </c>
      <c r="C157" s="22">
        <v>45692</v>
      </c>
      <c r="D157" t="s">
        <v>49</v>
      </c>
      <c r="E157" t="s">
        <v>50</v>
      </c>
      <c r="F157">
        <v>4619</v>
      </c>
      <c r="G157">
        <v>821</v>
      </c>
      <c r="H157">
        <v>499</v>
      </c>
      <c r="I157">
        <v>69285</v>
      </c>
      <c r="J157">
        <v>69141</v>
      </c>
      <c r="K157">
        <v>298</v>
      </c>
      <c r="L157" t="s">
        <v>19</v>
      </c>
      <c r="M157" s="21">
        <v>8.5718409468138801E-2</v>
      </c>
      <c r="N157" s="21">
        <v>4.3010752688172E-3</v>
      </c>
      <c r="O157">
        <v>5939</v>
      </c>
      <c r="P157" t="s">
        <v>24</v>
      </c>
      <c r="Q15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57" s="22">
        <f>_xlfn.XLOOKUP(TBL_Post_1[[#This Row],[Campaign_Name]],TBL_Campaign_Data_1[Campaign_Name],TBL_Campaign_Data_1[Start_Date])</f>
        <v>45505</v>
      </c>
      <c r="S157" s="22">
        <f>_xlfn.XLOOKUP(TBL_Post_1[[#This Row],[Campaign_Name]],TBL_Campaign_Data_1[Campaign_Name],TBL_Campaign_Data_1[End_Date])</f>
        <v>45535</v>
      </c>
    </row>
    <row r="158" spans="1:19">
      <c r="A158" t="s">
        <v>256</v>
      </c>
      <c r="B158" t="s">
        <v>27</v>
      </c>
      <c r="C158" s="22">
        <v>45464</v>
      </c>
      <c r="D158" t="s">
        <v>49</v>
      </c>
      <c r="E158" t="s">
        <v>50</v>
      </c>
      <c r="F158">
        <v>4832</v>
      </c>
      <c r="G158">
        <v>893</v>
      </c>
      <c r="H158">
        <v>10</v>
      </c>
      <c r="I158">
        <v>91808</v>
      </c>
      <c r="J158">
        <v>91296</v>
      </c>
      <c r="K158">
        <v>182</v>
      </c>
      <c r="L158" t="s">
        <v>38</v>
      </c>
      <c r="M158" s="21">
        <v>6.2467323109097202E-2</v>
      </c>
      <c r="N158" s="21">
        <v>1.9823980481003798E-3</v>
      </c>
      <c r="O158">
        <v>5735</v>
      </c>
      <c r="P158" t="s">
        <v>18</v>
      </c>
      <c r="Q15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58" s="22">
        <f>_xlfn.XLOOKUP(TBL_Post_1[[#This Row],[Campaign_Name]],TBL_Campaign_Data_1[Campaign_Name],TBL_Campaign_Data_1[Start_Date])</f>
        <v>45570</v>
      </c>
      <c r="S158" s="22">
        <f>_xlfn.XLOOKUP(TBL_Post_1[[#This Row],[Campaign_Name]],TBL_Campaign_Data_1[Campaign_Name],TBL_Campaign_Data_1[End_Date])</f>
        <v>45601</v>
      </c>
    </row>
    <row r="159" spans="1:19">
      <c r="A159" t="s">
        <v>256</v>
      </c>
      <c r="B159" t="s">
        <v>27</v>
      </c>
      <c r="C159" s="22">
        <v>45464</v>
      </c>
      <c r="D159" t="s">
        <v>49</v>
      </c>
      <c r="E159" t="s">
        <v>50</v>
      </c>
      <c r="F159">
        <v>4832</v>
      </c>
      <c r="G159">
        <v>893</v>
      </c>
      <c r="H159">
        <v>10</v>
      </c>
      <c r="I159">
        <v>91808</v>
      </c>
      <c r="J159">
        <v>91296</v>
      </c>
      <c r="K159">
        <v>182</v>
      </c>
      <c r="L159" t="s">
        <v>38</v>
      </c>
      <c r="M159" s="21">
        <v>6.2467323109097202E-2</v>
      </c>
      <c r="N159" s="21">
        <v>1.9823980481003798E-3</v>
      </c>
      <c r="O159">
        <v>5735</v>
      </c>
      <c r="P159" t="s">
        <v>58</v>
      </c>
      <c r="Q15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59" s="22">
        <f>_xlfn.XLOOKUP(TBL_Post_1[[#This Row],[Campaign_Name]],TBL_Campaign_Data_1[Campaign_Name],TBL_Campaign_Data_1[Start_Date])</f>
        <v>45570</v>
      </c>
      <c r="S159" s="22">
        <f>_xlfn.XLOOKUP(TBL_Post_1[[#This Row],[Campaign_Name]],TBL_Campaign_Data_1[Campaign_Name],TBL_Campaign_Data_1[End_Date])</f>
        <v>45601</v>
      </c>
    </row>
    <row r="160" spans="1:19">
      <c r="A160" t="s">
        <v>258</v>
      </c>
      <c r="B160" t="s">
        <v>14</v>
      </c>
      <c r="C160" s="22">
        <v>45741</v>
      </c>
      <c r="D160" t="s">
        <v>69</v>
      </c>
      <c r="E160" t="s">
        <v>70</v>
      </c>
      <c r="F160">
        <v>4050</v>
      </c>
      <c r="G160">
        <v>871</v>
      </c>
      <c r="H160">
        <v>347</v>
      </c>
      <c r="I160">
        <v>52650</v>
      </c>
      <c r="J160">
        <v>51755</v>
      </c>
      <c r="K160">
        <v>209</v>
      </c>
      <c r="L160" t="s">
        <v>19</v>
      </c>
      <c r="M160" s="21">
        <v>0.10005698005697999</v>
      </c>
      <c r="N160" s="21">
        <v>3.9696106362773001E-3</v>
      </c>
      <c r="O160">
        <v>5268</v>
      </c>
      <c r="P160" t="s">
        <v>58</v>
      </c>
      <c r="Q16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60" s="22">
        <f>_xlfn.XLOOKUP(TBL_Post_1[[#This Row],[Campaign_Name]],TBL_Campaign_Data_1[Campaign_Name],TBL_Campaign_Data_1[Start_Date])</f>
        <v>45505</v>
      </c>
      <c r="S160" s="22">
        <f>_xlfn.XLOOKUP(TBL_Post_1[[#This Row],[Campaign_Name]],TBL_Campaign_Data_1[Campaign_Name],TBL_Campaign_Data_1[End_Date])</f>
        <v>45535</v>
      </c>
    </row>
    <row r="161" spans="1:19">
      <c r="A161" t="s">
        <v>258</v>
      </c>
      <c r="B161" t="s">
        <v>14</v>
      </c>
      <c r="C161" s="22">
        <v>45741</v>
      </c>
      <c r="D161" t="s">
        <v>69</v>
      </c>
      <c r="E161" t="s">
        <v>70</v>
      </c>
      <c r="F161">
        <v>4050</v>
      </c>
      <c r="G161">
        <v>871</v>
      </c>
      <c r="H161">
        <v>347</v>
      </c>
      <c r="I161">
        <v>52650</v>
      </c>
      <c r="J161">
        <v>51755</v>
      </c>
      <c r="K161">
        <v>209</v>
      </c>
      <c r="L161" t="s">
        <v>19</v>
      </c>
      <c r="M161" s="21">
        <v>0.10005698005697999</v>
      </c>
      <c r="N161" s="21">
        <v>3.9696106362773001E-3</v>
      </c>
      <c r="O161">
        <v>5268</v>
      </c>
      <c r="P161" t="s">
        <v>77</v>
      </c>
      <c r="Q16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61" s="22">
        <f>_xlfn.XLOOKUP(TBL_Post_1[[#This Row],[Campaign_Name]],TBL_Campaign_Data_1[Campaign_Name],TBL_Campaign_Data_1[Start_Date])</f>
        <v>45505</v>
      </c>
      <c r="S161" s="22">
        <f>_xlfn.XLOOKUP(TBL_Post_1[[#This Row],[Campaign_Name]],TBL_Campaign_Data_1[Campaign_Name],TBL_Campaign_Data_1[End_Date])</f>
        <v>45535</v>
      </c>
    </row>
    <row r="162" spans="1:19">
      <c r="A162" t="s">
        <v>260</v>
      </c>
      <c r="B162" t="s">
        <v>14</v>
      </c>
      <c r="C162" s="22">
        <v>45512</v>
      </c>
      <c r="D162" t="s">
        <v>33</v>
      </c>
      <c r="E162" t="s">
        <v>34</v>
      </c>
      <c r="F162">
        <v>3649</v>
      </c>
      <c r="G162">
        <v>215</v>
      </c>
      <c r="H162">
        <v>413</v>
      </c>
      <c r="I162">
        <v>25543</v>
      </c>
      <c r="J162">
        <v>24963</v>
      </c>
      <c r="K162">
        <v>167</v>
      </c>
      <c r="L162" t="s">
        <v>19</v>
      </c>
      <c r="M162" s="21">
        <v>0.16744313510550801</v>
      </c>
      <c r="N162" s="21">
        <v>6.5379947539443298E-3</v>
      </c>
      <c r="O162">
        <v>4277</v>
      </c>
      <c r="P162" t="s">
        <v>24</v>
      </c>
      <c r="Q16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62" s="22">
        <f>_xlfn.XLOOKUP(TBL_Post_1[[#This Row],[Campaign_Name]],TBL_Campaign_Data_1[Campaign_Name],TBL_Campaign_Data_1[Start_Date])</f>
        <v>45505</v>
      </c>
      <c r="S162" s="22">
        <f>_xlfn.XLOOKUP(TBL_Post_1[[#This Row],[Campaign_Name]],TBL_Campaign_Data_1[Campaign_Name],TBL_Campaign_Data_1[End_Date])</f>
        <v>45535</v>
      </c>
    </row>
    <row r="163" spans="1:19">
      <c r="A163" t="s">
        <v>260</v>
      </c>
      <c r="B163" t="s">
        <v>14</v>
      </c>
      <c r="C163" s="22">
        <v>45512</v>
      </c>
      <c r="D163" t="s">
        <v>33</v>
      </c>
      <c r="E163" t="s">
        <v>34</v>
      </c>
      <c r="F163">
        <v>3649</v>
      </c>
      <c r="G163">
        <v>215</v>
      </c>
      <c r="H163">
        <v>413</v>
      </c>
      <c r="I163">
        <v>25543</v>
      </c>
      <c r="J163">
        <v>24963</v>
      </c>
      <c r="K163">
        <v>167</v>
      </c>
      <c r="L163" t="s">
        <v>19</v>
      </c>
      <c r="M163" s="21">
        <v>0.16744313510550801</v>
      </c>
      <c r="N163" s="21">
        <v>6.5379947539443298E-3</v>
      </c>
      <c r="O163">
        <v>4277</v>
      </c>
      <c r="P163" t="s">
        <v>58</v>
      </c>
      <c r="Q16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63" s="22">
        <f>_xlfn.XLOOKUP(TBL_Post_1[[#This Row],[Campaign_Name]],TBL_Campaign_Data_1[Campaign_Name],TBL_Campaign_Data_1[Start_Date])</f>
        <v>45505</v>
      </c>
      <c r="S163" s="22">
        <f>_xlfn.XLOOKUP(TBL_Post_1[[#This Row],[Campaign_Name]],TBL_Campaign_Data_1[Campaign_Name],TBL_Campaign_Data_1[End_Date])</f>
        <v>45535</v>
      </c>
    </row>
    <row r="164" spans="1:19">
      <c r="A164" t="s">
        <v>262</v>
      </c>
      <c r="B164" t="s">
        <v>31</v>
      </c>
      <c r="C164" s="22">
        <v>45502</v>
      </c>
      <c r="D164" t="s">
        <v>16</v>
      </c>
      <c r="E164" t="s">
        <v>17</v>
      </c>
      <c r="F164">
        <v>3523</v>
      </c>
      <c r="G164">
        <v>753</v>
      </c>
      <c r="H164">
        <v>482</v>
      </c>
      <c r="I164">
        <v>38753</v>
      </c>
      <c r="J164">
        <v>38579</v>
      </c>
      <c r="K164">
        <v>270</v>
      </c>
      <c r="L164" t="s">
        <v>25</v>
      </c>
      <c r="M164" s="21">
        <v>0.12277759141227799</v>
      </c>
      <c r="N164" s="21">
        <v>6.9672025391582602E-3</v>
      </c>
      <c r="O164">
        <v>4758</v>
      </c>
      <c r="P164" t="s">
        <v>77</v>
      </c>
      <c r="Q16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64" s="22">
        <f>_xlfn.XLOOKUP(TBL_Post_1[[#This Row],[Campaign_Name]],TBL_Campaign_Data_1[Campaign_Name],TBL_Campaign_Data_1[Start_Date])</f>
        <v>45453</v>
      </c>
      <c r="S164" s="22">
        <f>_xlfn.XLOOKUP(TBL_Post_1[[#This Row],[Campaign_Name]],TBL_Campaign_Data_1[Campaign_Name],TBL_Campaign_Data_1[End_Date])</f>
        <v>45478</v>
      </c>
    </row>
    <row r="165" spans="1:19">
      <c r="A165" t="s">
        <v>262</v>
      </c>
      <c r="B165" t="s">
        <v>31</v>
      </c>
      <c r="C165" s="22">
        <v>45502</v>
      </c>
      <c r="D165" t="s">
        <v>16</v>
      </c>
      <c r="E165" t="s">
        <v>17</v>
      </c>
      <c r="F165">
        <v>3523</v>
      </c>
      <c r="G165">
        <v>753</v>
      </c>
      <c r="H165">
        <v>482</v>
      </c>
      <c r="I165">
        <v>38753</v>
      </c>
      <c r="J165">
        <v>38579</v>
      </c>
      <c r="K165">
        <v>270</v>
      </c>
      <c r="L165" t="s">
        <v>25</v>
      </c>
      <c r="M165" s="21">
        <v>0.12277759141227799</v>
      </c>
      <c r="N165" s="21">
        <v>6.9672025391582602E-3</v>
      </c>
      <c r="O165">
        <v>4758</v>
      </c>
      <c r="P165" t="s">
        <v>58</v>
      </c>
      <c r="Q16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65" s="22">
        <f>_xlfn.XLOOKUP(TBL_Post_1[[#This Row],[Campaign_Name]],TBL_Campaign_Data_1[Campaign_Name],TBL_Campaign_Data_1[Start_Date])</f>
        <v>45453</v>
      </c>
      <c r="S165" s="22">
        <f>_xlfn.XLOOKUP(TBL_Post_1[[#This Row],[Campaign_Name]],TBL_Campaign_Data_1[Campaign_Name],TBL_Campaign_Data_1[End_Date])</f>
        <v>45478</v>
      </c>
    </row>
    <row r="166" spans="1:19">
      <c r="A166" t="s">
        <v>265</v>
      </c>
      <c r="B166" t="s">
        <v>27</v>
      </c>
      <c r="C166" s="22">
        <v>45619</v>
      </c>
      <c r="D166" t="s">
        <v>49</v>
      </c>
      <c r="E166" t="s">
        <v>50</v>
      </c>
      <c r="F166">
        <v>2719</v>
      </c>
      <c r="G166">
        <v>17</v>
      </c>
      <c r="H166">
        <v>285</v>
      </c>
      <c r="I166">
        <v>40785</v>
      </c>
      <c r="J166">
        <v>40281</v>
      </c>
      <c r="K166">
        <v>40</v>
      </c>
      <c r="L166" t="s">
        <v>38</v>
      </c>
      <c r="M166" s="21">
        <v>7.4071349760941499E-2</v>
      </c>
      <c r="N166" s="21">
        <v>9.80752727718524E-4</v>
      </c>
      <c r="O166">
        <v>3021</v>
      </c>
      <c r="P166" t="s">
        <v>24</v>
      </c>
      <c r="Q16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66" s="22">
        <f>_xlfn.XLOOKUP(TBL_Post_1[[#This Row],[Campaign_Name]],TBL_Campaign_Data_1[Campaign_Name],TBL_Campaign_Data_1[Start_Date])</f>
        <v>45570</v>
      </c>
      <c r="S166" s="22">
        <f>_xlfn.XLOOKUP(TBL_Post_1[[#This Row],[Campaign_Name]],TBL_Campaign_Data_1[Campaign_Name],TBL_Campaign_Data_1[End_Date])</f>
        <v>45601</v>
      </c>
    </row>
    <row r="167" spans="1:19">
      <c r="A167" t="s">
        <v>265</v>
      </c>
      <c r="B167" t="s">
        <v>27</v>
      </c>
      <c r="C167" s="22">
        <v>45619</v>
      </c>
      <c r="D167" t="s">
        <v>49</v>
      </c>
      <c r="E167" t="s">
        <v>50</v>
      </c>
      <c r="F167">
        <v>2719</v>
      </c>
      <c r="G167">
        <v>17</v>
      </c>
      <c r="H167">
        <v>285</v>
      </c>
      <c r="I167">
        <v>40785</v>
      </c>
      <c r="J167">
        <v>40281</v>
      </c>
      <c r="K167">
        <v>40</v>
      </c>
      <c r="L167" t="s">
        <v>38</v>
      </c>
      <c r="M167" s="21">
        <v>7.4071349760941499E-2</v>
      </c>
      <c r="N167" s="21">
        <v>9.80752727718524E-4</v>
      </c>
      <c r="O167">
        <v>3021</v>
      </c>
      <c r="P167" t="s">
        <v>58</v>
      </c>
      <c r="Q16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67" s="22">
        <f>_xlfn.XLOOKUP(TBL_Post_1[[#This Row],[Campaign_Name]],TBL_Campaign_Data_1[Campaign_Name],TBL_Campaign_Data_1[Start_Date])</f>
        <v>45570</v>
      </c>
      <c r="S167" s="22">
        <f>_xlfn.XLOOKUP(TBL_Post_1[[#This Row],[Campaign_Name]],TBL_Campaign_Data_1[Campaign_Name],TBL_Campaign_Data_1[End_Date])</f>
        <v>45601</v>
      </c>
    </row>
    <row r="168" spans="1:19">
      <c r="A168" t="s">
        <v>267</v>
      </c>
      <c r="B168" t="s">
        <v>14</v>
      </c>
      <c r="C168" s="22">
        <v>45570</v>
      </c>
      <c r="D168" t="s">
        <v>33</v>
      </c>
      <c r="E168" t="s">
        <v>34</v>
      </c>
      <c r="F168">
        <v>1957</v>
      </c>
      <c r="G168">
        <v>877</v>
      </c>
      <c r="H168">
        <v>238</v>
      </c>
      <c r="I168">
        <v>17613</v>
      </c>
      <c r="J168">
        <v>16865</v>
      </c>
      <c r="K168">
        <v>297</v>
      </c>
      <c r="L168" t="s">
        <v>38</v>
      </c>
      <c r="M168" s="21">
        <v>0.174416624084483</v>
      </c>
      <c r="N168" s="21">
        <v>1.6862544711292799E-2</v>
      </c>
      <c r="O168">
        <v>3072</v>
      </c>
      <c r="P168" t="s">
        <v>24</v>
      </c>
      <c r="Q16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68" s="22">
        <f>_xlfn.XLOOKUP(TBL_Post_1[[#This Row],[Campaign_Name]],TBL_Campaign_Data_1[Campaign_Name],TBL_Campaign_Data_1[Start_Date])</f>
        <v>45570</v>
      </c>
      <c r="S168" s="22">
        <f>_xlfn.XLOOKUP(TBL_Post_1[[#This Row],[Campaign_Name]],TBL_Campaign_Data_1[Campaign_Name],TBL_Campaign_Data_1[End_Date])</f>
        <v>45601</v>
      </c>
    </row>
    <row r="169" spans="1:19">
      <c r="A169" t="s">
        <v>267</v>
      </c>
      <c r="B169" t="s">
        <v>14</v>
      </c>
      <c r="C169" s="22">
        <v>45570</v>
      </c>
      <c r="D169" t="s">
        <v>33</v>
      </c>
      <c r="E169" t="s">
        <v>34</v>
      </c>
      <c r="F169">
        <v>1957</v>
      </c>
      <c r="G169">
        <v>877</v>
      </c>
      <c r="H169">
        <v>238</v>
      </c>
      <c r="I169">
        <v>17613</v>
      </c>
      <c r="J169">
        <v>16865</v>
      </c>
      <c r="K169">
        <v>297</v>
      </c>
      <c r="L169" t="s">
        <v>38</v>
      </c>
      <c r="M169" s="21">
        <v>0.174416624084483</v>
      </c>
      <c r="N169" s="21">
        <v>1.6862544711292799E-2</v>
      </c>
      <c r="O169">
        <v>3072</v>
      </c>
      <c r="P169" t="s">
        <v>18</v>
      </c>
      <c r="Q16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69" s="22">
        <f>_xlfn.XLOOKUP(TBL_Post_1[[#This Row],[Campaign_Name]],TBL_Campaign_Data_1[Campaign_Name],TBL_Campaign_Data_1[Start_Date])</f>
        <v>45570</v>
      </c>
      <c r="S169" s="22">
        <f>_xlfn.XLOOKUP(TBL_Post_1[[#This Row],[Campaign_Name]],TBL_Campaign_Data_1[Campaign_Name],TBL_Campaign_Data_1[End_Date])</f>
        <v>45601</v>
      </c>
    </row>
    <row r="170" spans="1:19">
      <c r="A170" t="s">
        <v>269</v>
      </c>
      <c r="B170" t="s">
        <v>14</v>
      </c>
      <c r="C170" s="22">
        <v>45567</v>
      </c>
      <c r="D170" t="s">
        <v>42</v>
      </c>
      <c r="E170" t="s">
        <v>43</v>
      </c>
      <c r="F170">
        <v>4419</v>
      </c>
      <c r="G170">
        <v>236</v>
      </c>
      <c r="H170">
        <v>369</v>
      </c>
      <c r="I170">
        <v>44190</v>
      </c>
      <c r="J170">
        <v>43582</v>
      </c>
      <c r="K170">
        <v>10</v>
      </c>
      <c r="L170" t="s">
        <v>55</v>
      </c>
      <c r="M170" s="21">
        <v>0.113690880289658</v>
      </c>
      <c r="N170" s="21">
        <v>2.26295541977823E-4</v>
      </c>
      <c r="O170">
        <v>5024</v>
      </c>
      <c r="P170" t="s">
        <v>44</v>
      </c>
      <c r="Q17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70" s="22">
        <f>_xlfn.XLOOKUP(TBL_Post_1[[#This Row],[Campaign_Name]],TBL_Campaign_Data_1[Campaign_Name],TBL_Campaign_Data_1[Start_Date])</f>
        <v>45667</v>
      </c>
      <c r="S170" s="22">
        <f>_xlfn.XLOOKUP(TBL_Post_1[[#This Row],[Campaign_Name]],TBL_Campaign_Data_1[Campaign_Name],TBL_Campaign_Data_1[End_Date])</f>
        <v>45698</v>
      </c>
    </row>
    <row r="171" spans="1:19">
      <c r="A171" t="s">
        <v>271</v>
      </c>
      <c r="B171" t="s">
        <v>14</v>
      </c>
      <c r="C171" s="22">
        <v>45610</v>
      </c>
      <c r="D171" t="s">
        <v>33</v>
      </c>
      <c r="E171" t="s">
        <v>34</v>
      </c>
      <c r="F171">
        <v>4000</v>
      </c>
      <c r="G171">
        <v>689</v>
      </c>
      <c r="H171">
        <v>488</v>
      </c>
      <c r="I171">
        <v>40000</v>
      </c>
      <c r="J171">
        <v>39569</v>
      </c>
      <c r="K171">
        <v>44</v>
      </c>
      <c r="L171" t="s">
        <v>38</v>
      </c>
      <c r="M171" s="21">
        <v>0.12942500000000001</v>
      </c>
      <c r="N171" s="21">
        <v>1.1000000000000001E-3</v>
      </c>
      <c r="O171">
        <v>5177</v>
      </c>
      <c r="P171" t="s">
        <v>77</v>
      </c>
      <c r="Q17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71" s="22">
        <f>_xlfn.XLOOKUP(TBL_Post_1[[#This Row],[Campaign_Name]],TBL_Campaign_Data_1[Campaign_Name],TBL_Campaign_Data_1[Start_Date])</f>
        <v>45570</v>
      </c>
      <c r="S171" s="22">
        <f>_xlfn.XLOOKUP(TBL_Post_1[[#This Row],[Campaign_Name]],TBL_Campaign_Data_1[Campaign_Name],TBL_Campaign_Data_1[End_Date])</f>
        <v>45601</v>
      </c>
    </row>
    <row r="172" spans="1:19">
      <c r="A172" t="s">
        <v>271</v>
      </c>
      <c r="B172" t="s">
        <v>14</v>
      </c>
      <c r="C172" s="22">
        <v>45610</v>
      </c>
      <c r="D172" t="s">
        <v>33</v>
      </c>
      <c r="E172" t="s">
        <v>34</v>
      </c>
      <c r="F172">
        <v>4000</v>
      </c>
      <c r="G172">
        <v>689</v>
      </c>
      <c r="H172">
        <v>488</v>
      </c>
      <c r="I172">
        <v>40000</v>
      </c>
      <c r="J172">
        <v>39569</v>
      </c>
      <c r="K172">
        <v>44</v>
      </c>
      <c r="L172" t="s">
        <v>38</v>
      </c>
      <c r="M172" s="21">
        <v>0.12942500000000001</v>
      </c>
      <c r="N172" s="21">
        <v>1.1000000000000001E-3</v>
      </c>
      <c r="O172">
        <v>5177</v>
      </c>
      <c r="P172" t="s">
        <v>24</v>
      </c>
      <c r="Q17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72" s="22">
        <f>_xlfn.XLOOKUP(TBL_Post_1[[#This Row],[Campaign_Name]],TBL_Campaign_Data_1[Campaign_Name],TBL_Campaign_Data_1[Start_Date])</f>
        <v>45570</v>
      </c>
      <c r="S172" s="22">
        <f>_xlfn.XLOOKUP(TBL_Post_1[[#This Row],[Campaign_Name]],TBL_Campaign_Data_1[Campaign_Name],TBL_Campaign_Data_1[End_Date])</f>
        <v>45601</v>
      </c>
    </row>
    <row r="173" spans="1:19">
      <c r="A173" t="s">
        <v>273</v>
      </c>
      <c r="B173" t="s">
        <v>14</v>
      </c>
      <c r="C173" s="22">
        <v>45788</v>
      </c>
      <c r="D173" t="s">
        <v>49</v>
      </c>
      <c r="E173" t="s">
        <v>50</v>
      </c>
      <c r="F173">
        <v>2493</v>
      </c>
      <c r="G173">
        <v>97</v>
      </c>
      <c r="H173">
        <v>44</v>
      </c>
      <c r="I173">
        <v>42381</v>
      </c>
      <c r="J173">
        <v>41991</v>
      </c>
      <c r="K173">
        <v>242</v>
      </c>
      <c r="L173" t="s">
        <v>19</v>
      </c>
      <c r="M173" s="21">
        <v>6.21504919657394E-2</v>
      </c>
      <c r="N173" s="21">
        <v>5.7101059437011902E-3</v>
      </c>
      <c r="O173">
        <v>2634</v>
      </c>
      <c r="P173" t="s">
        <v>18</v>
      </c>
      <c r="Q17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73" s="22">
        <f>_xlfn.XLOOKUP(TBL_Post_1[[#This Row],[Campaign_Name]],TBL_Campaign_Data_1[Campaign_Name],TBL_Campaign_Data_1[Start_Date])</f>
        <v>45505</v>
      </c>
      <c r="S173" s="22">
        <f>_xlfn.XLOOKUP(TBL_Post_1[[#This Row],[Campaign_Name]],TBL_Campaign_Data_1[Campaign_Name],TBL_Campaign_Data_1[End_Date])</f>
        <v>45535</v>
      </c>
    </row>
    <row r="174" spans="1:19">
      <c r="A174" t="s">
        <v>273</v>
      </c>
      <c r="B174" t="s">
        <v>14</v>
      </c>
      <c r="C174" s="22">
        <v>45788</v>
      </c>
      <c r="D174" t="s">
        <v>49</v>
      </c>
      <c r="E174" t="s">
        <v>50</v>
      </c>
      <c r="F174">
        <v>2493</v>
      </c>
      <c r="G174">
        <v>97</v>
      </c>
      <c r="H174">
        <v>44</v>
      </c>
      <c r="I174">
        <v>42381</v>
      </c>
      <c r="J174">
        <v>41991</v>
      </c>
      <c r="K174">
        <v>242</v>
      </c>
      <c r="L174" t="s">
        <v>19</v>
      </c>
      <c r="M174" s="21">
        <v>6.21504919657394E-2</v>
      </c>
      <c r="N174" s="21">
        <v>5.7101059437011902E-3</v>
      </c>
      <c r="O174">
        <v>2634</v>
      </c>
      <c r="P174" t="s">
        <v>58</v>
      </c>
      <c r="Q17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74" s="22">
        <f>_xlfn.XLOOKUP(TBL_Post_1[[#This Row],[Campaign_Name]],TBL_Campaign_Data_1[Campaign_Name],TBL_Campaign_Data_1[Start_Date])</f>
        <v>45505</v>
      </c>
      <c r="S174" s="22">
        <f>_xlfn.XLOOKUP(TBL_Post_1[[#This Row],[Campaign_Name]],TBL_Campaign_Data_1[Campaign_Name],TBL_Campaign_Data_1[End_Date])</f>
        <v>45535</v>
      </c>
    </row>
    <row r="175" spans="1:19">
      <c r="A175" t="s">
        <v>275</v>
      </c>
      <c r="B175" t="s">
        <v>27</v>
      </c>
      <c r="C175" s="22">
        <v>45734</v>
      </c>
      <c r="D175" t="s">
        <v>16</v>
      </c>
      <c r="E175" t="s">
        <v>17</v>
      </c>
      <c r="F175">
        <v>3704</v>
      </c>
      <c r="G175">
        <v>186</v>
      </c>
      <c r="H175">
        <v>458</v>
      </c>
      <c r="I175">
        <v>25928</v>
      </c>
      <c r="J175">
        <v>25081</v>
      </c>
      <c r="K175">
        <v>131</v>
      </c>
      <c r="L175" t="s">
        <v>19</v>
      </c>
      <c r="M175" s="21">
        <v>0.167695155816106</v>
      </c>
      <c r="N175" s="21">
        <v>5.0524529466214104E-3</v>
      </c>
      <c r="O175">
        <v>4348</v>
      </c>
      <c r="P175" t="s">
        <v>58</v>
      </c>
      <c r="Q17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75" s="22">
        <f>_xlfn.XLOOKUP(TBL_Post_1[[#This Row],[Campaign_Name]],TBL_Campaign_Data_1[Campaign_Name],TBL_Campaign_Data_1[Start_Date])</f>
        <v>45505</v>
      </c>
      <c r="S175" s="22">
        <f>_xlfn.XLOOKUP(TBL_Post_1[[#This Row],[Campaign_Name]],TBL_Campaign_Data_1[Campaign_Name],TBL_Campaign_Data_1[End_Date])</f>
        <v>45535</v>
      </c>
    </row>
    <row r="176" spans="1:19">
      <c r="A176" t="s">
        <v>277</v>
      </c>
      <c r="B176" t="s">
        <v>14</v>
      </c>
      <c r="C176" s="22">
        <v>45600</v>
      </c>
      <c r="D176" t="s">
        <v>49</v>
      </c>
      <c r="E176" t="s">
        <v>50</v>
      </c>
      <c r="F176">
        <v>1606</v>
      </c>
      <c r="G176">
        <v>451</v>
      </c>
      <c r="H176">
        <v>405</v>
      </c>
      <c r="I176">
        <v>20878</v>
      </c>
      <c r="J176">
        <v>20190</v>
      </c>
      <c r="K176">
        <v>219</v>
      </c>
      <c r="L176" t="s">
        <v>25</v>
      </c>
      <c r="M176" s="21">
        <v>0.117923172717693</v>
      </c>
      <c r="N176" s="21">
        <v>1.04895104895105E-2</v>
      </c>
      <c r="O176">
        <v>2462</v>
      </c>
      <c r="P176" t="s">
        <v>18</v>
      </c>
      <c r="Q17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76" s="22">
        <f>_xlfn.XLOOKUP(TBL_Post_1[[#This Row],[Campaign_Name]],TBL_Campaign_Data_1[Campaign_Name],TBL_Campaign_Data_1[Start_Date])</f>
        <v>45453</v>
      </c>
      <c r="S176" s="22">
        <f>_xlfn.XLOOKUP(TBL_Post_1[[#This Row],[Campaign_Name]],TBL_Campaign_Data_1[Campaign_Name],TBL_Campaign_Data_1[End_Date])</f>
        <v>45478</v>
      </c>
    </row>
    <row r="177" spans="1:19">
      <c r="A177" t="s">
        <v>277</v>
      </c>
      <c r="B177" t="s">
        <v>14</v>
      </c>
      <c r="C177" s="22">
        <v>45600</v>
      </c>
      <c r="D177" t="s">
        <v>49</v>
      </c>
      <c r="E177" t="s">
        <v>50</v>
      </c>
      <c r="F177">
        <v>1606</v>
      </c>
      <c r="G177">
        <v>451</v>
      </c>
      <c r="H177">
        <v>405</v>
      </c>
      <c r="I177">
        <v>20878</v>
      </c>
      <c r="J177">
        <v>20190</v>
      </c>
      <c r="K177">
        <v>219</v>
      </c>
      <c r="L177" t="s">
        <v>25</v>
      </c>
      <c r="M177" s="21">
        <v>0.117923172717693</v>
      </c>
      <c r="N177" s="21">
        <v>1.04895104895105E-2</v>
      </c>
      <c r="O177">
        <v>2462</v>
      </c>
      <c r="P177" t="s">
        <v>58</v>
      </c>
      <c r="Q17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77" s="22">
        <f>_xlfn.XLOOKUP(TBL_Post_1[[#This Row],[Campaign_Name]],TBL_Campaign_Data_1[Campaign_Name],TBL_Campaign_Data_1[Start_Date])</f>
        <v>45453</v>
      </c>
      <c r="S177" s="22">
        <f>_xlfn.XLOOKUP(TBL_Post_1[[#This Row],[Campaign_Name]],TBL_Campaign_Data_1[Campaign_Name],TBL_Campaign_Data_1[End_Date])</f>
        <v>45478</v>
      </c>
    </row>
    <row r="178" spans="1:19">
      <c r="A178" t="s">
        <v>279</v>
      </c>
      <c r="B178" t="s">
        <v>40</v>
      </c>
      <c r="C178" s="22">
        <v>45600</v>
      </c>
      <c r="D178" t="s">
        <v>49</v>
      </c>
      <c r="E178" t="s">
        <v>50</v>
      </c>
      <c r="F178">
        <v>4551</v>
      </c>
      <c r="G178">
        <v>714</v>
      </c>
      <c r="H178">
        <v>207</v>
      </c>
      <c r="I178">
        <v>68265</v>
      </c>
      <c r="J178">
        <v>67754</v>
      </c>
      <c r="K178">
        <v>57</v>
      </c>
      <c r="L178" t="s">
        <v>25</v>
      </c>
      <c r="M178" s="21">
        <v>8.0158206987475306E-2</v>
      </c>
      <c r="N178" s="21">
        <v>8.3498132278620103E-4</v>
      </c>
      <c r="O178">
        <v>5472</v>
      </c>
      <c r="P178" t="s">
        <v>44</v>
      </c>
      <c r="Q17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78" s="22">
        <f>_xlfn.XLOOKUP(TBL_Post_1[[#This Row],[Campaign_Name]],TBL_Campaign_Data_1[Campaign_Name],TBL_Campaign_Data_1[Start_Date])</f>
        <v>45453</v>
      </c>
      <c r="S178" s="22">
        <f>_xlfn.XLOOKUP(TBL_Post_1[[#This Row],[Campaign_Name]],TBL_Campaign_Data_1[Campaign_Name],TBL_Campaign_Data_1[End_Date])</f>
        <v>45478</v>
      </c>
    </row>
    <row r="179" spans="1:19">
      <c r="A179" t="s">
        <v>280</v>
      </c>
      <c r="B179" t="s">
        <v>31</v>
      </c>
      <c r="C179" s="22">
        <v>45695</v>
      </c>
      <c r="D179" t="s">
        <v>16</v>
      </c>
      <c r="E179" t="s">
        <v>17</v>
      </c>
      <c r="F179">
        <v>1970</v>
      </c>
      <c r="G179">
        <v>675</v>
      </c>
      <c r="H179">
        <v>478</v>
      </c>
      <c r="I179">
        <v>9850</v>
      </c>
      <c r="J179">
        <v>8924</v>
      </c>
      <c r="K179">
        <v>117</v>
      </c>
      <c r="L179" t="s">
        <v>55</v>
      </c>
      <c r="M179" s="21">
        <v>0.31705583756345201</v>
      </c>
      <c r="N179" s="21">
        <v>1.1878172588832499E-2</v>
      </c>
      <c r="O179">
        <v>3123</v>
      </c>
      <c r="P179" t="s">
        <v>44</v>
      </c>
      <c r="Q17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79" s="22">
        <f>_xlfn.XLOOKUP(TBL_Post_1[[#This Row],[Campaign_Name]],TBL_Campaign_Data_1[Campaign_Name],TBL_Campaign_Data_1[Start_Date])</f>
        <v>45667</v>
      </c>
      <c r="S179" s="22">
        <f>_xlfn.XLOOKUP(TBL_Post_1[[#This Row],[Campaign_Name]],TBL_Campaign_Data_1[Campaign_Name],TBL_Campaign_Data_1[End_Date])</f>
        <v>45698</v>
      </c>
    </row>
    <row r="180" spans="1:19">
      <c r="A180" t="s">
        <v>282</v>
      </c>
      <c r="B180" t="s">
        <v>40</v>
      </c>
      <c r="C180" s="22">
        <v>45586</v>
      </c>
      <c r="D180" t="s">
        <v>33</v>
      </c>
      <c r="E180" t="s">
        <v>34</v>
      </c>
      <c r="F180">
        <v>780</v>
      </c>
      <c r="G180">
        <v>928</v>
      </c>
      <c r="H180">
        <v>301</v>
      </c>
      <c r="I180">
        <v>8580</v>
      </c>
      <c r="J180">
        <v>8081</v>
      </c>
      <c r="K180">
        <v>91</v>
      </c>
      <c r="L180" t="s">
        <v>55</v>
      </c>
      <c r="M180" s="21">
        <v>0.23414918414918401</v>
      </c>
      <c r="N180" s="21">
        <v>1.06060606060606E-2</v>
      </c>
      <c r="O180">
        <v>2009</v>
      </c>
      <c r="P180" t="s">
        <v>18</v>
      </c>
      <c r="Q18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80" s="22">
        <f>_xlfn.XLOOKUP(TBL_Post_1[[#This Row],[Campaign_Name]],TBL_Campaign_Data_1[Campaign_Name],TBL_Campaign_Data_1[Start_Date])</f>
        <v>45667</v>
      </c>
      <c r="S180" s="22">
        <f>_xlfn.XLOOKUP(TBL_Post_1[[#This Row],[Campaign_Name]],TBL_Campaign_Data_1[Campaign_Name],TBL_Campaign_Data_1[End_Date])</f>
        <v>45698</v>
      </c>
    </row>
    <row r="181" spans="1:19">
      <c r="A181" t="s">
        <v>282</v>
      </c>
      <c r="B181" t="s">
        <v>40</v>
      </c>
      <c r="C181" s="22">
        <v>45586</v>
      </c>
      <c r="D181" t="s">
        <v>33</v>
      </c>
      <c r="E181" t="s">
        <v>34</v>
      </c>
      <c r="F181">
        <v>780</v>
      </c>
      <c r="G181">
        <v>928</v>
      </c>
      <c r="H181">
        <v>301</v>
      </c>
      <c r="I181">
        <v>8580</v>
      </c>
      <c r="J181">
        <v>8081</v>
      </c>
      <c r="K181">
        <v>91</v>
      </c>
      <c r="L181" t="s">
        <v>55</v>
      </c>
      <c r="M181" s="21">
        <v>0.23414918414918401</v>
      </c>
      <c r="N181" s="21">
        <v>1.06060606060606E-2</v>
      </c>
      <c r="O181">
        <v>2009</v>
      </c>
      <c r="P181" t="s">
        <v>24</v>
      </c>
      <c r="Q18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81" s="22">
        <f>_xlfn.XLOOKUP(TBL_Post_1[[#This Row],[Campaign_Name]],TBL_Campaign_Data_1[Campaign_Name],TBL_Campaign_Data_1[Start_Date])</f>
        <v>45667</v>
      </c>
      <c r="S181" s="22">
        <f>_xlfn.XLOOKUP(TBL_Post_1[[#This Row],[Campaign_Name]],TBL_Campaign_Data_1[Campaign_Name],TBL_Campaign_Data_1[End_Date])</f>
        <v>45698</v>
      </c>
    </row>
    <row r="182" spans="1:19">
      <c r="A182" t="s">
        <v>283</v>
      </c>
      <c r="B182" t="s">
        <v>31</v>
      </c>
      <c r="C182" s="22">
        <v>45502</v>
      </c>
      <c r="D182" t="s">
        <v>33</v>
      </c>
      <c r="E182" t="s">
        <v>34</v>
      </c>
      <c r="F182">
        <v>498</v>
      </c>
      <c r="G182">
        <v>701</v>
      </c>
      <c r="H182">
        <v>412</v>
      </c>
      <c r="I182">
        <v>4980</v>
      </c>
      <c r="J182">
        <v>4185</v>
      </c>
      <c r="K182">
        <v>185</v>
      </c>
      <c r="L182" t="s">
        <v>55</v>
      </c>
      <c r="M182" s="21">
        <v>0.32349397590361401</v>
      </c>
      <c r="N182" s="21">
        <v>3.7148594377510002E-2</v>
      </c>
      <c r="O182">
        <v>1611</v>
      </c>
      <c r="P182" t="s">
        <v>77</v>
      </c>
      <c r="Q18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82" s="22">
        <f>_xlfn.XLOOKUP(TBL_Post_1[[#This Row],[Campaign_Name]],TBL_Campaign_Data_1[Campaign_Name],TBL_Campaign_Data_1[Start_Date])</f>
        <v>45667</v>
      </c>
      <c r="S182" s="22">
        <f>_xlfn.XLOOKUP(TBL_Post_1[[#This Row],[Campaign_Name]],TBL_Campaign_Data_1[Campaign_Name],TBL_Campaign_Data_1[End_Date])</f>
        <v>45698</v>
      </c>
    </row>
    <row r="183" spans="1:19">
      <c r="A183" t="s">
        <v>283</v>
      </c>
      <c r="B183" t="s">
        <v>31</v>
      </c>
      <c r="C183" s="22">
        <v>45502</v>
      </c>
      <c r="D183" t="s">
        <v>33</v>
      </c>
      <c r="E183" t="s">
        <v>34</v>
      </c>
      <c r="F183">
        <v>498</v>
      </c>
      <c r="G183">
        <v>701</v>
      </c>
      <c r="H183">
        <v>412</v>
      </c>
      <c r="I183">
        <v>4980</v>
      </c>
      <c r="J183">
        <v>4185</v>
      </c>
      <c r="K183">
        <v>185</v>
      </c>
      <c r="L183" t="s">
        <v>55</v>
      </c>
      <c r="M183" s="21">
        <v>0.32349397590361401</v>
      </c>
      <c r="N183" s="21">
        <v>3.7148594377510002E-2</v>
      </c>
      <c r="O183">
        <v>1611</v>
      </c>
      <c r="P183" t="s">
        <v>58</v>
      </c>
      <c r="Q18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83" s="22">
        <f>_xlfn.XLOOKUP(TBL_Post_1[[#This Row],[Campaign_Name]],TBL_Campaign_Data_1[Campaign_Name],TBL_Campaign_Data_1[Start_Date])</f>
        <v>45667</v>
      </c>
      <c r="S183" s="22">
        <f>_xlfn.XLOOKUP(TBL_Post_1[[#This Row],[Campaign_Name]],TBL_Campaign_Data_1[Campaign_Name],TBL_Campaign_Data_1[End_Date])</f>
        <v>45698</v>
      </c>
    </row>
    <row r="184" spans="1:19">
      <c r="A184" t="s">
        <v>284</v>
      </c>
      <c r="B184" t="s">
        <v>31</v>
      </c>
      <c r="C184" s="22">
        <v>45567</v>
      </c>
      <c r="D184" t="s">
        <v>22</v>
      </c>
      <c r="E184" t="s">
        <v>23</v>
      </c>
      <c r="F184">
        <v>3432</v>
      </c>
      <c r="G184">
        <v>869</v>
      </c>
      <c r="H184">
        <v>123</v>
      </c>
      <c r="I184">
        <v>54912</v>
      </c>
      <c r="J184">
        <v>53916</v>
      </c>
      <c r="K184">
        <v>264</v>
      </c>
      <c r="L184" t="s">
        <v>25</v>
      </c>
      <c r="M184" s="21">
        <v>8.0565268065268106E-2</v>
      </c>
      <c r="N184" s="21">
        <v>4.8076923076923097E-3</v>
      </c>
      <c r="O184">
        <v>4424</v>
      </c>
      <c r="P184" t="s">
        <v>24</v>
      </c>
      <c r="Q18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84" s="22">
        <f>_xlfn.XLOOKUP(TBL_Post_1[[#This Row],[Campaign_Name]],TBL_Campaign_Data_1[Campaign_Name],TBL_Campaign_Data_1[Start_Date])</f>
        <v>45453</v>
      </c>
      <c r="S184" s="22">
        <f>_xlfn.XLOOKUP(TBL_Post_1[[#This Row],[Campaign_Name]],TBL_Campaign_Data_1[Campaign_Name],TBL_Campaign_Data_1[End_Date])</f>
        <v>45478</v>
      </c>
    </row>
    <row r="185" spans="1:19">
      <c r="A185" t="s">
        <v>284</v>
      </c>
      <c r="B185" t="s">
        <v>31</v>
      </c>
      <c r="C185" s="22">
        <v>45567</v>
      </c>
      <c r="D185" t="s">
        <v>22</v>
      </c>
      <c r="E185" t="s">
        <v>23</v>
      </c>
      <c r="F185">
        <v>3432</v>
      </c>
      <c r="G185">
        <v>869</v>
      </c>
      <c r="H185">
        <v>123</v>
      </c>
      <c r="I185">
        <v>54912</v>
      </c>
      <c r="J185">
        <v>53916</v>
      </c>
      <c r="K185">
        <v>264</v>
      </c>
      <c r="L185" t="s">
        <v>25</v>
      </c>
      <c r="M185" s="21">
        <v>8.0565268065268106E-2</v>
      </c>
      <c r="N185" s="21">
        <v>4.8076923076923097E-3</v>
      </c>
      <c r="O185">
        <v>4424</v>
      </c>
      <c r="P185" t="s">
        <v>44</v>
      </c>
      <c r="Q18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85" s="22">
        <f>_xlfn.XLOOKUP(TBL_Post_1[[#This Row],[Campaign_Name]],TBL_Campaign_Data_1[Campaign_Name],TBL_Campaign_Data_1[Start_Date])</f>
        <v>45453</v>
      </c>
      <c r="S185" s="22">
        <f>_xlfn.XLOOKUP(TBL_Post_1[[#This Row],[Campaign_Name]],TBL_Campaign_Data_1[Campaign_Name],TBL_Campaign_Data_1[End_Date])</f>
        <v>45478</v>
      </c>
    </row>
    <row r="186" spans="1:19">
      <c r="A186" t="s">
        <v>286</v>
      </c>
      <c r="B186" t="s">
        <v>31</v>
      </c>
      <c r="C186" s="22">
        <v>45457</v>
      </c>
      <c r="D186" t="s">
        <v>33</v>
      </c>
      <c r="E186" t="s">
        <v>34</v>
      </c>
      <c r="F186">
        <v>4363</v>
      </c>
      <c r="G186">
        <v>649</v>
      </c>
      <c r="H186">
        <v>140</v>
      </c>
      <c r="I186">
        <v>21815</v>
      </c>
      <c r="J186">
        <v>21481</v>
      </c>
      <c r="K186">
        <v>157</v>
      </c>
      <c r="L186" t="s">
        <v>25</v>
      </c>
      <c r="M186" s="21">
        <v>0.23616777446710999</v>
      </c>
      <c r="N186" s="21">
        <v>7.19688287875315E-3</v>
      </c>
      <c r="O186">
        <v>5152</v>
      </c>
      <c r="P186" t="s">
        <v>18</v>
      </c>
      <c r="Q18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86" s="22">
        <f>_xlfn.XLOOKUP(TBL_Post_1[[#This Row],[Campaign_Name]],TBL_Campaign_Data_1[Campaign_Name],TBL_Campaign_Data_1[Start_Date])</f>
        <v>45453</v>
      </c>
      <c r="S186" s="22">
        <f>_xlfn.XLOOKUP(TBL_Post_1[[#This Row],[Campaign_Name]],TBL_Campaign_Data_1[Campaign_Name],TBL_Campaign_Data_1[End_Date])</f>
        <v>45478</v>
      </c>
    </row>
    <row r="187" spans="1:19">
      <c r="A187" t="s">
        <v>286</v>
      </c>
      <c r="B187" t="s">
        <v>31</v>
      </c>
      <c r="C187" s="22">
        <v>45457</v>
      </c>
      <c r="D187" t="s">
        <v>33</v>
      </c>
      <c r="E187" t="s">
        <v>34</v>
      </c>
      <c r="F187">
        <v>4363</v>
      </c>
      <c r="G187">
        <v>649</v>
      </c>
      <c r="H187">
        <v>140</v>
      </c>
      <c r="I187">
        <v>21815</v>
      </c>
      <c r="J187">
        <v>21481</v>
      </c>
      <c r="K187">
        <v>157</v>
      </c>
      <c r="L187" t="s">
        <v>25</v>
      </c>
      <c r="M187" s="21">
        <v>0.23616777446710999</v>
      </c>
      <c r="N187" s="21">
        <v>7.19688287875315E-3</v>
      </c>
      <c r="O187">
        <v>5152</v>
      </c>
      <c r="P187" t="s">
        <v>24</v>
      </c>
      <c r="Q18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87" s="22">
        <f>_xlfn.XLOOKUP(TBL_Post_1[[#This Row],[Campaign_Name]],TBL_Campaign_Data_1[Campaign_Name],TBL_Campaign_Data_1[Start_Date])</f>
        <v>45453</v>
      </c>
      <c r="S187" s="22">
        <f>_xlfn.XLOOKUP(TBL_Post_1[[#This Row],[Campaign_Name]],TBL_Campaign_Data_1[Campaign_Name],TBL_Campaign_Data_1[End_Date])</f>
        <v>45478</v>
      </c>
    </row>
    <row r="188" spans="1:19">
      <c r="A188" t="s">
        <v>287</v>
      </c>
      <c r="B188" t="s">
        <v>27</v>
      </c>
      <c r="C188" s="22">
        <v>45753</v>
      </c>
      <c r="D188" t="s">
        <v>42</v>
      </c>
      <c r="E188" t="s">
        <v>43</v>
      </c>
      <c r="F188">
        <v>736</v>
      </c>
      <c r="G188">
        <v>771</v>
      </c>
      <c r="H188">
        <v>225</v>
      </c>
      <c r="I188">
        <v>5152</v>
      </c>
      <c r="J188">
        <v>4706</v>
      </c>
      <c r="K188">
        <v>19</v>
      </c>
      <c r="L188" t="s">
        <v>38</v>
      </c>
      <c r="M188" s="21">
        <v>0.33618012422360199</v>
      </c>
      <c r="N188" s="21">
        <v>3.6878881987577601E-3</v>
      </c>
      <c r="O188">
        <v>1732</v>
      </c>
      <c r="P188" t="s">
        <v>58</v>
      </c>
      <c r="Q18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88" s="22">
        <f>_xlfn.XLOOKUP(TBL_Post_1[[#This Row],[Campaign_Name]],TBL_Campaign_Data_1[Campaign_Name],TBL_Campaign_Data_1[Start_Date])</f>
        <v>45570</v>
      </c>
      <c r="S188" s="22">
        <f>_xlfn.XLOOKUP(TBL_Post_1[[#This Row],[Campaign_Name]],TBL_Campaign_Data_1[Campaign_Name],TBL_Campaign_Data_1[End_Date])</f>
        <v>45601</v>
      </c>
    </row>
    <row r="189" spans="1:19">
      <c r="A189" t="s">
        <v>289</v>
      </c>
      <c r="B189" t="s">
        <v>14</v>
      </c>
      <c r="C189" s="22">
        <v>45543</v>
      </c>
      <c r="D189" t="s">
        <v>42</v>
      </c>
      <c r="E189" t="s">
        <v>43</v>
      </c>
      <c r="F189">
        <v>3811</v>
      </c>
      <c r="G189">
        <v>866</v>
      </c>
      <c r="H189">
        <v>216</v>
      </c>
      <c r="I189">
        <v>34299</v>
      </c>
      <c r="J189">
        <v>34088</v>
      </c>
      <c r="K189">
        <v>233</v>
      </c>
      <c r="L189" t="s">
        <v>38</v>
      </c>
      <c r="M189" s="21">
        <v>0.142657220327123</v>
      </c>
      <c r="N189" s="21">
        <v>6.7932009679582501E-3</v>
      </c>
      <c r="O189">
        <v>4893</v>
      </c>
      <c r="P189" t="s">
        <v>58</v>
      </c>
      <c r="Q18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89" s="22">
        <f>_xlfn.XLOOKUP(TBL_Post_1[[#This Row],[Campaign_Name]],TBL_Campaign_Data_1[Campaign_Name],TBL_Campaign_Data_1[Start_Date])</f>
        <v>45570</v>
      </c>
      <c r="S189" s="22">
        <f>_xlfn.XLOOKUP(TBL_Post_1[[#This Row],[Campaign_Name]],TBL_Campaign_Data_1[Campaign_Name],TBL_Campaign_Data_1[End_Date])</f>
        <v>45601</v>
      </c>
    </row>
    <row r="190" spans="1:19">
      <c r="A190" t="s">
        <v>291</v>
      </c>
      <c r="B190" t="s">
        <v>31</v>
      </c>
      <c r="C190" s="22">
        <v>45744</v>
      </c>
      <c r="D190" t="s">
        <v>42</v>
      </c>
      <c r="E190" t="s">
        <v>43</v>
      </c>
      <c r="F190">
        <v>4158</v>
      </c>
      <c r="G190">
        <v>167</v>
      </c>
      <c r="H190">
        <v>241</v>
      </c>
      <c r="I190">
        <v>45738</v>
      </c>
      <c r="J190">
        <v>45183</v>
      </c>
      <c r="K190">
        <v>142</v>
      </c>
      <c r="L190" t="s">
        <v>25</v>
      </c>
      <c r="M190" s="21">
        <v>9.9829463465827106E-2</v>
      </c>
      <c r="N190" s="21">
        <v>3.1046394682758302E-3</v>
      </c>
      <c r="O190">
        <v>4566</v>
      </c>
      <c r="P190" t="s">
        <v>24</v>
      </c>
      <c r="Q19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90" s="22">
        <f>_xlfn.XLOOKUP(TBL_Post_1[[#This Row],[Campaign_Name]],TBL_Campaign_Data_1[Campaign_Name],TBL_Campaign_Data_1[Start_Date])</f>
        <v>45453</v>
      </c>
      <c r="S190" s="22">
        <f>_xlfn.XLOOKUP(TBL_Post_1[[#This Row],[Campaign_Name]],TBL_Campaign_Data_1[Campaign_Name],TBL_Campaign_Data_1[End_Date])</f>
        <v>45478</v>
      </c>
    </row>
    <row r="191" spans="1:19">
      <c r="A191" t="s">
        <v>292</v>
      </c>
      <c r="B191" t="s">
        <v>40</v>
      </c>
      <c r="C191" s="22">
        <v>45684</v>
      </c>
      <c r="D191" t="s">
        <v>16</v>
      </c>
      <c r="E191" t="s">
        <v>17</v>
      </c>
      <c r="F191">
        <v>3452</v>
      </c>
      <c r="G191">
        <v>652</v>
      </c>
      <c r="H191">
        <v>442</v>
      </c>
      <c r="I191">
        <v>65588</v>
      </c>
      <c r="J191">
        <v>65049</v>
      </c>
      <c r="K191">
        <v>158</v>
      </c>
      <c r="L191" t="s">
        <v>19</v>
      </c>
      <c r="M191" s="21">
        <v>6.9311459413307297E-2</v>
      </c>
      <c r="N191" s="21">
        <v>2.40897725193633E-3</v>
      </c>
      <c r="O191">
        <v>4546</v>
      </c>
      <c r="P191" t="s">
        <v>18</v>
      </c>
      <c r="Q19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91" s="22">
        <f>_xlfn.XLOOKUP(TBL_Post_1[[#This Row],[Campaign_Name]],TBL_Campaign_Data_1[Campaign_Name],TBL_Campaign_Data_1[Start_Date])</f>
        <v>45505</v>
      </c>
      <c r="S191" s="22">
        <f>_xlfn.XLOOKUP(TBL_Post_1[[#This Row],[Campaign_Name]],TBL_Campaign_Data_1[Campaign_Name],TBL_Campaign_Data_1[End_Date])</f>
        <v>45535</v>
      </c>
    </row>
    <row r="192" spans="1:19">
      <c r="A192" t="s">
        <v>292</v>
      </c>
      <c r="B192" t="s">
        <v>40</v>
      </c>
      <c r="C192" s="22">
        <v>45684</v>
      </c>
      <c r="D192" t="s">
        <v>16</v>
      </c>
      <c r="E192" t="s">
        <v>17</v>
      </c>
      <c r="F192">
        <v>3452</v>
      </c>
      <c r="G192">
        <v>652</v>
      </c>
      <c r="H192">
        <v>442</v>
      </c>
      <c r="I192">
        <v>65588</v>
      </c>
      <c r="J192">
        <v>65049</v>
      </c>
      <c r="K192">
        <v>158</v>
      </c>
      <c r="L192" t="s">
        <v>19</v>
      </c>
      <c r="M192" s="21">
        <v>6.9311459413307297E-2</v>
      </c>
      <c r="N192" s="21">
        <v>2.40897725193633E-3</v>
      </c>
      <c r="O192">
        <v>4546</v>
      </c>
      <c r="P192" t="s">
        <v>58</v>
      </c>
      <c r="Q19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92" s="22">
        <f>_xlfn.XLOOKUP(TBL_Post_1[[#This Row],[Campaign_Name]],TBL_Campaign_Data_1[Campaign_Name],TBL_Campaign_Data_1[Start_Date])</f>
        <v>45505</v>
      </c>
      <c r="S192" s="22">
        <f>_xlfn.XLOOKUP(TBL_Post_1[[#This Row],[Campaign_Name]],TBL_Campaign_Data_1[Campaign_Name],TBL_Campaign_Data_1[End_Date])</f>
        <v>45535</v>
      </c>
    </row>
    <row r="193" spans="1:19">
      <c r="A193" t="s">
        <v>293</v>
      </c>
      <c r="B193" t="s">
        <v>14</v>
      </c>
      <c r="C193" s="22">
        <v>45667</v>
      </c>
      <c r="D193" t="s">
        <v>49</v>
      </c>
      <c r="E193" t="s">
        <v>50</v>
      </c>
      <c r="F193">
        <v>3092</v>
      </c>
      <c r="G193">
        <v>106</v>
      </c>
      <c r="H193">
        <v>291</v>
      </c>
      <c r="I193">
        <v>27828</v>
      </c>
      <c r="J193">
        <v>27217</v>
      </c>
      <c r="K193">
        <v>102</v>
      </c>
      <c r="L193" t="s">
        <v>55</v>
      </c>
      <c r="M193" s="21">
        <v>0.12537731780940101</v>
      </c>
      <c r="N193" s="21">
        <v>3.6653730056058599E-3</v>
      </c>
      <c r="O193">
        <v>3489</v>
      </c>
      <c r="P193" t="s">
        <v>58</v>
      </c>
      <c r="Q19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193" s="22">
        <f>_xlfn.XLOOKUP(TBL_Post_1[[#This Row],[Campaign_Name]],TBL_Campaign_Data_1[Campaign_Name],TBL_Campaign_Data_1[Start_Date])</f>
        <v>45667</v>
      </c>
      <c r="S193" s="22">
        <f>_xlfn.XLOOKUP(TBL_Post_1[[#This Row],[Campaign_Name]],TBL_Campaign_Data_1[Campaign_Name],TBL_Campaign_Data_1[End_Date])</f>
        <v>45698</v>
      </c>
    </row>
    <row r="194" spans="1:19">
      <c r="A194" t="s">
        <v>294</v>
      </c>
      <c r="B194" t="s">
        <v>14</v>
      </c>
      <c r="C194" s="22">
        <v>45494</v>
      </c>
      <c r="D194" t="s">
        <v>22</v>
      </c>
      <c r="E194" t="s">
        <v>23</v>
      </c>
      <c r="F194">
        <v>2147</v>
      </c>
      <c r="G194">
        <v>430</v>
      </c>
      <c r="H194">
        <v>393</v>
      </c>
      <c r="I194">
        <v>17176</v>
      </c>
      <c r="J194">
        <v>16483</v>
      </c>
      <c r="K194">
        <v>170</v>
      </c>
      <c r="L194" t="s">
        <v>55</v>
      </c>
      <c r="M194" s="21">
        <v>0.17291569632044701</v>
      </c>
      <c r="N194" s="21">
        <v>9.8975314392175107E-3</v>
      </c>
      <c r="O194">
        <v>2970</v>
      </c>
      <c r="P194" t="s">
        <v>77</v>
      </c>
      <c r="Q19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94" s="22">
        <f>_xlfn.XLOOKUP(TBL_Post_1[[#This Row],[Campaign_Name]],TBL_Campaign_Data_1[Campaign_Name],TBL_Campaign_Data_1[Start_Date])</f>
        <v>45667</v>
      </c>
      <c r="S194" s="22">
        <f>_xlfn.XLOOKUP(TBL_Post_1[[#This Row],[Campaign_Name]],TBL_Campaign_Data_1[Campaign_Name],TBL_Campaign_Data_1[End_Date])</f>
        <v>45698</v>
      </c>
    </row>
    <row r="195" spans="1:19">
      <c r="A195" t="s">
        <v>295</v>
      </c>
      <c r="B195" t="s">
        <v>27</v>
      </c>
      <c r="C195" s="22">
        <v>45564</v>
      </c>
      <c r="D195" t="s">
        <v>16</v>
      </c>
      <c r="E195" t="s">
        <v>17</v>
      </c>
      <c r="F195">
        <v>2936</v>
      </c>
      <c r="G195">
        <v>439</v>
      </c>
      <c r="H195">
        <v>44</v>
      </c>
      <c r="I195">
        <v>38168</v>
      </c>
      <c r="J195">
        <v>37571</v>
      </c>
      <c r="K195">
        <v>22</v>
      </c>
      <c r="L195" t="s">
        <v>38</v>
      </c>
      <c r="M195" s="21">
        <v>8.9577656675749295E-2</v>
      </c>
      <c r="N195" s="21">
        <v>5.7639907776147598E-4</v>
      </c>
      <c r="O195">
        <v>3419</v>
      </c>
      <c r="P195" t="s">
        <v>18</v>
      </c>
      <c r="Q19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195" s="22">
        <f>_xlfn.XLOOKUP(TBL_Post_1[[#This Row],[Campaign_Name]],TBL_Campaign_Data_1[Campaign_Name],TBL_Campaign_Data_1[Start_Date])</f>
        <v>45570</v>
      </c>
      <c r="S195" s="22">
        <f>_xlfn.XLOOKUP(TBL_Post_1[[#This Row],[Campaign_Name]],TBL_Campaign_Data_1[Campaign_Name],TBL_Campaign_Data_1[End_Date])</f>
        <v>45601</v>
      </c>
    </row>
    <row r="196" spans="1:19">
      <c r="A196" t="s">
        <v>297</v>
      </c>
      <c r="B196" t="s">
        <v>31</v>
      </c>
      <c r="C196" s="22">
        <v>45586</v>
      </c>
      <c r="D196" t="s">
        <v>16</v>
      </c>
      <c r="E196" t="s">
        <v>17</v>
      </c>
      <c r="F196">
        <v>4840</v>
      </c>
      <c r="G196">
        <v>658</v>
      </c>
      <c r="H196">
        <v>211</v>
      </c>
      <c r="I196">
        <v>43560</v>
      </c>
      <c r="J196">
        <v>43225</v>
      </c>
      <c r="K196">
        <v>57</v>
      </c>
      <c r="L196" t="s">
        <v>25</v>
      </c>
      <c r="M196" s="21">
        <v>0.13106060606060599</v>
      </c>
      <c r="N196" s="21">
        <v>1.3085399449035799E-3</v>
      </c>
      <c r="O196">
        <v>5709</v>
      </c>
      <c r="P196" t="s">
        <v>18</v>
      </c>
      <c r="Q19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96" s="22">
        <f>_xlfn.XLOOKUP(TBL_Post_1[[#This Row],[Campaign_Name]],TBL_Campaign_Data_1[Campaign_Name],TBL_Campaign_Data_1[Start_Date])</f>
        <v>45453</v>
      </c>
      <c r="S196" s="22">
        <f>_xlfn.XLOOKUP(TBL_Post_1[[#This Row],[Campaign_Name]],TBL_Campaign_Data_1[Campaign_Name],TBL_Campaign_Data_1[End_Date])</f>
        <v>45478</v>
      </c>
    </row>
    <row r="197" spans="1:19">
      <c r="A197" t="s">
        <v>297</v>
      </c>
      <c r="B197" t="s">
        <v>31</v>
      </c>
      <c r="C197" s="22">
        <v>45586</v>
      </c>
      <c r="D197" t="s">
        <v>16</v>
      </c>
      <c r="E197" t="s">
        <v>17</v>
      </c>
      <c r="F197">
        <v>4840</v>
      </c>
      <c r="G197">
        <v>658</v>
      </c>
      <c r="H197">
        <v>211</v>
      </c>
      <c r="I197">
        <v>43560</v>
      </c>
      <c r="J197">
        <v>43225</v>
      </c>
      <c r="K197">
        <v>57</v>
      </c>
      <c r="L197" t="s">
        <v>25</v>
      </c>
      <c r="M197" s="21">
        <v>0.13106060606060599</v>
      </c>
      <c r="N197" s="21">
        <v>1.3085399449035799E-3</v>
      </c>
      <c r="O197">
        <v>5709</v>
      </c>
      <c r="P197" t="s">
        <v>24</v>
      </c>
      <c r="Q19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97" s="22">
        <f>_xlfn.XLOOKUP(TBL_Post_1[[#This Row],[Campaign_Name]],TBL_Campaign_Data_1[Campaign_Name],TBL_Campaign_Data_1[Start_Date])</f>
        <v>45453</v>
      </c>
      <c r="S197" s="22">
        <f>_xlfn.XLOOKUP(TBL_Post_1[[#This Row],[Campaign_Name]],TBL_Campaign_Data_1[Campaign_Name],TBL_Campaign_Data_1[End_Date])</f>
        <v>45478</v>
      </c>
    </row>
    <row r="198" spans="1:19">
      <c r="A198" t="s">
        <v>298</v>
      </c>
      <c r="B198" t="s">
        <v>31</v>
      </c>
      <c r="C198" s="22">
        <v>45720</v>
      </c>
      <c r="D198" t="s">
        <v>33</v>
      </c>
      <c r="E198" t="s">
        <v>34</v>
      </c>
      <c r="F198">
        <v>1947</v>
      </c>
      <c r="G198">
        <v>842</v>
      </c>
      <c r="H198">
        <v>101</v>
      </c>
      <c r="I198">
        <v>21417</v>
      </c>
      <c r="J198">
        <v>20967</v>
      </c>
      <c r="K198">
        <v>186</v>
      </c>
      <c r="L198" t="s">
        <v>25</v>
      </c>
      <c r="M198" s="21">
        <v>0.134939534015035</v>
      </c>
      <c r="N198" s="21">
        <v>8.6846897324555205E-3</v>
      </c>
      <c r="O198">
        <v>2890</v>
      </c>
      <c r="P198" t="s">
        <v>24</v>
      </c>
      <c r="Q19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98" s="22">
        <f>_xlfn.XLOOKUP(TBL_Post_1[[#This Row],[Campaign_Name]],TBL_Campaign_Data_1[Campaign_Name],TBL_Campaign_Data_1[Start_Date])</f>
        <v>45453</v>
      </c>
      <c r="S198" s="22">
        <f>_xlfn.XLOOKUP(TBL_Post_1[[#This Row],[Campaign_Name]],TBL_Campaign_Data_1[Campaign_Name],TBL_Campaign_Data_1[End_Date])</f>
        <v>45478</v>
      </c>
    </row>
    <row r="199" spans="1:19">
      <c r="A199" t="s">
        <v>299</v>
      </c>
      <c r="B199" t="s">
        <v>40</v>
      </c>
      <c r="C199" s="22">
        <v>45694</v>
      </c>
      <c r="D199" t="s">
        <v>49</v>
      </c>
      <c r="E199" t="s">
        <v>50</v>
      </c>
      <c r="F199">
        <v>2072</v>
      </c>
      <c r="G199">
        <v>532</v>
      </c>
      <c r="H199">
        <v>71</v>
      </c>
      <c r="I199">
        <v>37296</v>
      </c>
      <c r="J199">
        <v>36467</v>
      </c>
      <c r="K199">
        <v>25</v>
      </c>
      <c r="L199" t="s">
        <v>38</v>
      </c>
      <c r="M199" s="21">
        <v>7.1723509223509202E-2</v>
      </c>
      <c r="N199" s="21">
        <v>6.7031317031317E-4</v>
      </c>
      <c r="O199">
        <v>2675</v>
      </c>
      <c r="P199" t="s">
        <v>18</v>
      </c>
      <c r="Q19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199" s="22">
        <f>_xlfn.XLOOKUP(TBL_Post_1[[#This Row],[Campaign_Name]],TBL_Campaign_Data_1[Campaign_Name],TBL_Campaign_Data_1[Start_Date])</f>
        <v>45570</v>
      </c>
      <c r="S199" s="22">
        <f>_xlfn.XLOOKUP(TBL_Post_1[[#This Row],[Campaign_Name]],TBL_Campaign_Data_1[Campaign_Name],TBL_Campaign_Data_1[End_Date])</f>
        <v>45601</v>
      </c>
    </row>
    <row r="200" spans="1:19">
      <c r="A200" t="s">
        <v>301</v>
      </c>
      <c r="B200" t="s">
        <v>14</v>
      </c>
      <c r="C200" s="22">
        <v>45771</v>
      </c>
      <c r="D200" t="s">
        <v>16</v>
      </c>
      <c r="E200" t="s">
        <v>17</v>
      </c>
      <c r="F200">
        <v>3731</v>
      </c>
      <c r="G200">
        <v>115</v>
      </c>
      <c r="H200">
        <v>135</v>
      </c>
      <c r="I200">
        <v>55965</v>
      </c>
      <c r="J200">
        <v>55436</v>
      </c>
      <c r="K200">
        <v>103</v>
      </c>
      <c r="L200" t="s">
        <v>55</v>
      </c>
      <c r="M200" s="21">
        <v>7.1133744304475999E-2</v>
      </c>
      <c r="N200" s="21">
        <v>1.84043598677745E-3</v>
      </c>
      <c r="O200">
        <v>3981</v>
      </c>
      <c r="P200" t="s">
        <v>77</v>
      </c>
      <c r="Q20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00" s="22">
        <f>_xlfn.XLOOKUP(TBL_Post_1[[#This Row],[Campaign_Name]],TBL_Campaign_Data_1[Campaign_Name],TBL_Campaign_Data_1[Start_Date])</f>
        <v>45667</v>
      </c>
      <c r="S200" s="22">
        <f>_xlfn.XLOOKUP(TBL_Post_1[[#This Row],[Campaign_Name]],TBL_Campaign_Data_1[Campaign_Name],TBL_Campaign_Data_1[End_Date])</f>
        <v>45698</v>
      </c>
    </row>
    <row r="201" spans="1:19">
      <c r="A201" t="s">
        <v>303</v>
      </c>
      <c r="B201" t="s">
        <v>40</v>
      </c>
      <c r="C201" s="22">
        <v>45624</v>
      </c>
      <c r="D201" t="s">
        <v>22</v>
      </c>
      <c r="E201" t="s">
        <v>23</v>
      </c>
      <c r="F201">
        <v>4213</v>
      </c>
      <c r="G201">
        <v>253</v>
      </c>
      <c r="H201">
        <v>434</v>
      </c>
      <c r="I201">
        <v>75834</v>
      </c>
      <c r="J201">
        <v>75437</v>
      </c>
      <c r="K201">
        <v>272</v>
      </c>
      <c r="L201" t="s">
        <v>38</v>
      </c>
      <c r="M201" s="21">
        <v>6.4614816573041106E-2</v>
      </c>
      <c r="N201" s="21">
        <v>3.5867816546667698E-3</v>
      </c>
      <c r="O201">
        <v>4900</v>
      </c>
      <c r="P201" t="s">
        <v>44</v>
      </c>
      <c r="Q20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01" s="22">
        <f>_xlfn.XLOOKUP(TBL_Post_1[[#This Row],[Campaign_Name]],TBL_Campaign_Data_1[Campaign_Name],TBL_Campaign_Data_1[Start_Date])</f>
        <v>45570</v>
      </c>
      <c r="S201" s="22">
        <f>_xlfn.XLOOKUP(TBL_Post_1[[#This Row],[Campaign_Name]],TBL_Campaign_Data_1[Campaign_Name],TBL_Campaign_Data_1[End_Date])</f>
        <v>45601</v>
      </c>
    </row>
    <row r="202" spans="1:19">
      <c r="A202" t="s">
        <v>305</v>
      </c>
      <c r="B202" t="s">
        <v>31</v>
      </c>
      <c r="C202" s="22">
        <v>45484</v>
      </c>
      <c r="D202" t="s">
        <v>22</v>
      </c>
      <c r="E202" t="s">
        <v>23</v>
      </c>
      <c r="F202">
        <v>3134</v>
      </c>
      <c r="G202">
        <v>888</v>
      </c>
      <c r="H202">
        <v>444</v>
      </c>
      <c r="I202">
        <v>21938</v>
      </c>
      <c r="J202">
        <v>21337</v>
      </c>
      <c r="K202">
        <v>130</v>
      </c>
      <c r="L202" t="s">
        <v>55</v>
      </c>
      <c r="M202" s="21">
        <v>0.203573707721761</v>
      </c>
      <c r="N202" s="21">
        <v>5.9257908651654699E-3</v>
      </c>
      <c r="O202">
        <v>4466</v>
      </c>
      <c r="P202" t="s">
        <v>18</v>
      </c>
      <c r="Q20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02" s="22">
        <f>_xlfn.XLOOKUP(TBL_Post_1[[#This Row],[Campaign_Name]],TBL_Campaign_Data_1[Campaign_Name],TBL_Campaign_Data_1[Start_Date])</f>
        <v>45667</v>
      </c>
      <c r="S202" s="22">
        <f>_xlfn.XLOOKUP(TBL_Post_1[[#This Row],[Campaign_Name]],TBL_Campaign_Data_1[Campaign_Name],TBL_Campaign_Data_1[End_Date])</f>
        <v>45698</v>
      </c>
    </row>
    <row r="203" spans="1:19">
      <c r="A203" t="s">
        <v>305</v>
      </c>
      <c r="B203" t="s">
        <v>31</v>
      </c>
      <c r="C203" s="22">
        <v>45484</v>
      </c>
      <c r="D203" t="s">
        <v>22</v>
      </c>
      <c r="E203" t="s">
        <v>23</v>
      </c>
      <c r="F203">
        <v>3134</v>
      </c>
      <c r="G203">
        <v>888</v>
      </c>
      <c r="H203">
        <v>444</v>
      </c>
      <c r="I203">
        <v>21938</v>
      </c>
      <c r="J203">
        <v>21337</v>
      </c>
      <c r="K203">
        <v>130</v>
      </c>
      <c r="L203" t="s">
        <v>55</v>
      </c>
      <c r="M203" s="21">
        <v>0.203573707721761</v>
      </c>
      <c r="N203" s="21">
        <v>5.9257908651654699E-3</v>
      </c>
      <c r="O203">
        <v>4466</v>
      </c>
      <c r="P203" t="s">
        <v>24</v>
      </c>
      <c r="Q20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03" s="22">
        <f>_xlfn.XLOOKUP(TBL_Post_1[[#This Row],[Campaign_Name]],TBL_Campaign_Data_1[Campaign_Name],TBL_Campaign_Data_1[Start_Date])</f>
        <v>45667</v>
      </c>
      <c r="S203" s="22">
        <f>_xlfn.XLOOKUP(TBL_Post_1[[#This Row],[Campaign_Name]],TBL_Campaign_Data_1[Campaign_Name],TBL_Campaign_Data_1[End_Date])</f>
        <v>45698</v>
      </c>
    </row>
    <row r="204" spans="1:19">
      <c r="A204" t="s">
        <v>307</v>
      </c>
      <c r="B204" t="s">
        <v>40</v>
      </c>
      <c r="C204" s="22">
        <v>45504</v>
      </c>
      <c r="D204" t="s">
        <v>69</v>
      </c>
      <c r="E204" t="s">
        <v>70</v>
      </c>
      <c r="F204">
        <v>3008</v>
      </c>
      <c r="G204">
        <v>94</v>
      </c>
      <c r="H204">
        <v>37</v>
      </c>
      <c r="I204">
        <v>15040</v>
      </c>
      <c r="J204">
        <v>14639</v>
      </c>
      <c r="K204">
        <v>277</v>
      </c>
      <c r="L204" t="s">
        <v>19</v>
      </c>
      <c r="M204" s="21">
        <v>0.20871010638297899</v>
      </c>
      <c r="N204" s="21">
        <v>1.84175531914894E-2</v>
      </c>
      <c r="O204">
        <v>3139</v>
      </c>
      <c r="P204" t="s">
        <v>77</v>
      </c>
      <c r="Q20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204" s="22">
        <f>_xlfn.XLOOKUP(TBL_Post_1[[#This Row],[Campaign_Name]],TBL_Campaign_Data_1[Campaign_Name],TBL_Campaign_Data_1[Start_Date])</f>
        <v>45505</v>
      </c>
      <c r="S204" s="22">
        <f>_xlfn.XLOOKUP(TBL_Post_1[[#This Row],[Campaign_Name]],TBL_Campaign_Data_1[Campaign_Name],TBL_Campaign_Data_1[End_Date])</f>
        <v>45535</v>
      </c>
    </row>
    <row r="205" spans="1:19">
      <c r="A205" t="s">
        <v>308</v>
      </c>
      <c r="B205" t="s">
        <v>14</v>
      </c>
      <c r="C205" s="22">
        <v>45745</v>
      </c>
      <c r="D205" t="s">
        <v>49</v>
      </c>
      <c r="E205" t="s">
        <v>50</v>
      </c>
      <c r="F205">
        <v>305</v>
      </c>
      <c r="G205">
        <v>187</v>
      </c>
      <c r="H205">
        <v>243</v>
      </c>
      <c r="I205">
        <v>4575</v>
      </c>
      <c r="J205">
        <v>3704</v>
      </c>
      <c r="K205">
        <v>234</v>
      </c>
      <c r="L205" t="s">
        <v>55</v>
      </c>
      <c r="M205" s="21">
        <v>0.16065573770491801</v>
      </c>
      <c r="N205" s="21">
        <v>5.1147540983606597E-2</v>
      </c>
      <c r="O205">
        <v>735</v>
      </c>
      <c r="P205" t="s">
        <v>24</v>
      </c>
      <c r="Q20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05" s="22">
        <f>_xlfn.XLOOKUP(TBL_Post_1[[#This Row],[Campaign_Name]],TBL_Campaign_Data_1[Campaign_Name],TBL_Campaign_Data_1[Start_Date])</f>
        <v>45667</v>
      </c>
      <c r="S205" s="22">
        <f>_xlfn.XLOOKUP(TBL_Post_1[[#This Row],[Campaign_Name]],TBL_Campaign_Data_1[Campaign_Name],TBL_Campaign_Data_1[End_Date])</f>
        <v>45698</v>
      </c>
    </row>
    <row r="206" spans="1:19">
      <c r="A206" t="s">
        <v>308</v>
      </c>
      <c r="B206" t="s">
        <v>14</v>
      </c>
      <c r="C206" s="22">
        <v>45745</v>
      </c>
      <c r="D206" t="s">
        <v>49</v>
      </c>
      <c r="E206" t="s">
        <v>50</v>
      </c>
      <c r="F206">
        <v>305</v>
      </c>
      <c r="G206">
        <v>187</v>
      </c>
      <c r="H206">
        <v>243</v>
      </c>
      <c r="I206">
        <v>4575</v>
      </c>
      <c r="J206">
        <v>3704</v>
      </c>
      <c r="K206">
        <v>234</v>
      </c>
      <c r="L206" t="s">
        <v>55</v>
      </c>
      <c r="M206" s="21">
        <v>0.16065573770491801</v>
      </c>
      <c r="N206" s="21">
        <v>5.1147540983606597E-2</v>
      </c>
      <c r="O206">
        <v>735</v>
      </c>
      <c r="P206" t="s">
        <v>44</v>
      </c>
      <c r="Q20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06" s="22">
        <f>_xlfn.XLOOKUP(TBL_Post_1[[#This Row],[Campaign_Name]],TBL_Campaign_Data_1[Campaign_Name],TBL_Campaign_Data_1[Start_Date])</f>
        <v>45667</v>
      </c>
      <c r="S206" s="22">
        <f>_xlfn.XLOOKUP(TBL_Post_1[[#This Row],[Campaign_Name]],TBL_Campaign_Data_1[Campaign_Name],TBL_Campaign_Data_1[End_Date])</f>
        <v>45698</v>
      </c>
    </row>
    <row r="207" spans="1:19">
      <c r="A207" t="s">
        <v>309</v>
      </c>
      <c r="B207" t="s">
        <v>27</v>
      </c>
      <c r="C207" s="22">
        <v>45594</v>
      </c>
      <c r="D207" t="s">
        <v>22</v>
      </c>
      <c r="E207" t="s">
        <v>23</v>
      </c>
      <c r="F207">
        <v>2746</v>
      </c>
      <c r="G207">
        <v>156</v>
      </c>
      <c r="H207">
        <v>203</v>
      </c>
      <c r="I207">
        <v>32952</v>
      </c>
      <c r="J207">
        <v>32147</v>
      </c>
      <c r="K207">
        <v>147</v>
      </c>
      <c r="L207" t="s">
        <v>25</v>
      </c>
      <c r="M207" s="21">
        <v>9.4227967953386699E-2</v>
      </c>
      <c r="N207" s="21">
        <v>4.46103423160961E-3</v>
      </c>
      <c r="O207">
        <v>3105</v>
      </c>
      <c r="P207" t="s">
        <v>24</v>
      </c>
      <c r="Q20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07" s="22">
        <f>_xlfn.XLOOKUP(TBL_Post_1[[#This Row],[Campaign_Name]],TBL_Campaign_Data_1[Campaign_Name],TBL_Campaign_Data_1[Start_Date])</f>
        <v>45453</v>
      </c>
      <c r="S207" s="22">
        <f>_xlfn.XLOOKUP(TBL_Post_1[[#This Row],[Campaign_Name]],TBL_Campaign_Data_1[Campaign_Name],TBL_Campaign_Data_1[End_Date])</f>
        <v>45478</v>
      </c>
    </row>
    <row r="208" spans="1:19">
      <c r="A208" t="s">
        <v>309</v>
      </c>
      <c r="B208" t="s">
        <v>27</v>
      </c>
      <c r="C208" s="22">
        <v>45594</v>
      </c>
      <c r="D208" t="s">
        <v>22</v>
      </c>
      <c r="E208" t="s">
        <v>23</v>
      </c>
      <c r="F208">
        <v>2746</v>
      </c>
      <c r="G208">
        <v>156</v>
      </c>
      <c r="H208">
        <v>203</v>
      </c>
      <c r="I208">
        <v>32952</v>
      </c>
      <c r="J208">
        <v>32147</v>
      </c>
      <c r="K208">
        <v>147</v>
      </c>
      <c r="L208" t="s">
        <v>25</v>
      </c>
      <c r="M208" s="21">
        <v>9.4227967953386699E-2</v>
      </c>
      <c r="N208" s="21">
        <v>4.46103423160961E-3</v>
      </c>
      <c r="O208">
        <v>3105</v>
      </c>
      <c r="P208" t="s">
        <v>58</v>
      </c>
      <c r="Q20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08" s="22">
        <f>_xlfn.XLOOKUP(TBL_Post_1[[#This Row],[Campaign_Name]],TBL_Campaign_Data_1[Campaign_Name],TBL_Campaign_Data_1[Start_Date])</f>
        <v>45453</v>
      </c>
      <c r="S208" s="22">
        <f>_xlfn.XLOOKUP(TBL_Post_1[[#This Row],[Campaign_Name]],TBL_Campaign_Data_1[Campaign_Name],TBL_Campaign_Data_1[End_Date])</f>
        <v>45478</v>
      </c>
    </row>
    <row r="209" spans="1:19">
      <c r="A209" t="s">
        <v>311</v>
      </c>
      <c r="B209" t="s">
        <v>40</v>
      </c>
      <c r="C209" s="22">
        <v>45488</v>
      </c>
      <c r="D209" t="s">
        <v>49</v>
      </c>
      <c r="E209" t="s">
        <v>50</v>
      </c>
      <c r="F209">
        <v>2291</v>
      </c>
      <c r="G209">
        <v>78</v>
      </c>
      <c r="H209">
        <v>485</v>
      </c>
      <c r="I209">
        <v>18328</v>
      </c>
      <c r="J209">
        <v>18101</v>
      </c>
      <c r="K209">
        <v>10</v>
      </c>
      <c r="L209" t="s">
        <v>19</v>
      </c>
      <c r="M209" s="21">
        <v>0.155718027062418</v>
      </c>
      <c r="N209" s="21">
        <v>5.4561326931470999E-4</v>
      </c>
      <c r="O209">
        <v>2854</v>
      </c>
      <c r="P209" t="s">
        <v>77</v>
      </c>
      <c r="Q20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09" s="22">
        <f>_xlfn.XLOOKUP(TBL_Post_1[[#This Row],[Campaign_Name]],TBL_Campaign_Data_1[Campaign_Name],TBL_Campaign_Data_1[Start_Date])</f>
        <v>45505</v>
      </c>
      <c r="S209" s="22">
        <f>_xlfn.XLOOKUP(TBL_Post_1[[#This Row],[Campaign_Name]],TBL_Campaign_Data_1[Campaign_Name],TBL_Campaign_Data_1[End_Date])</f>
        <v>45535</v>
      </c>
    </row>
    <row r="210" spans="1:19">
      <c r="A210" t="s">
        <v>313</v>
      </c>
      <c r="B210" t="s">
        <v>14</v>
      </c>
      <c r="C210" s="22">
        <v>45535</v>
      </c>
      <c r="D210" t="s">
        <v>49</v>
      </c>
      <c r="E210" t="s">
        <v>50</v>
      </c>
      <c r="F210">
        <v>3170</v>
      </c>
      <c r="G210">
        <v>857</v>
      </c>
      <c r="H210">
        <v>379</v>
      </c>
      <c r="I210">
        <v>19020</v>
      </c>
      <c r="J210">
        <v>18559</v>
      </c>
      <c r="K210">
        <v>240</v>
      </c>
      <c r="L210" t="s">
        <v>38</v>
      </c>
      <c r="M210" s="21">
        <v>0.23165089379600401</v>
      </c>
      <c r="N210" s="21">
        <v>1.2618296529968501E-2</v>
      </c>
      <c r="O210">
        <v>4406</v>
      </c>
      <c r="P210" t="s">
        <v>18</v>
      </c>
      <c r="Q21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10" s="22">
        <f>_xlfn.XLOOKUP(TBL_Post_1[[#This Row],[Campaign_Name]],TBL_Campaign_Data_1[Campaign_Name],TBL_Campaign_Data_1[Start_Date])</f>
        <v>45570</v>
      </c>
      <c r="S210" s="22">
        <f>_xlfn.XLOOKUP(TBL_Post_1[[#This Row],[Campaign_Name]],TBL_Campaign_Data_1[Campaign_Name],TBL_Campaign_Data_1[End_Date])</f>
        <v>45601</v>
      </c>
    </row>
    <row r="211" spans="1:19">
      <c r="A211" t="s">
        <v>315</v>
      </c>
      <c r="B211" t="s">
        <v>27</v>
      </c>
      <c r="C211" s="22">
        <v>45741</v>
      </c>
      <c r="D211" t="s">
        <v>33</v>
      </c>
      <c r="E211" t="s">
        <v>34</v>
      </c>
      <c r="F211">
        <v>2070</v>
      </c>
      <c r="G211">
        <v>275</v>
      </c>
      <c r="H211">
        <v>386</v>
      </c>
      <c r="I211">
        <v>39330</v>
      </c>
      <c r="J211">
        <v>38627</v>
      </c>
      <c r="K211">
        <v>114</v>
      </c>
      <c r="L211" t="s">
        <v>55</v>
      </c>
      <c r="M211" s="21">
        <v>6.9438087973557105E-2</v>
      </c>
      <c r="N211" s="21">
        <v>2.8985507246376799E-3</v>
      </c>
      <c r="O211">
        <v>2731</v>
      </c>
      <c r="P211" t="s">
        <v>18</v>
      </c>
      <c r="Q21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11" s="22">
        <f>_xlfn.XLOOKUP(TBL_Post_1[[#This Row],[Campaign_Name]],TBL_Campaign_Data_1[Campaign_Name],TBL_Campaign_Data_1[Start_Date])</f>
        <v>45667</v>
      </c>
      <c r="S211" s="22">
        <f>_xlfn.XLOOKUP(TBL_Post_1[[#This Row],[Campaign_Name]],TBL_Campaign_Data_1[Campaign_Name],TBL_Campaign_Data_1[End_Date])</f>
        <v>45698</v>
      </c>
    </row>
    <row r="212" spans="1:19">
      <c r="A212" t="s">
        <v>316</v>
      </c>
      <c r="B212" t="s">
        <v>27</v>
      </c>
      <c r="C212" s="22">
        <v>45567</v>
      </c>
      <c r="D212" t="s">
        <v>42</v>
      </c>
      <c r="E212" t="s">
        <v>43</v>
      </c>
      <c r="F212">
        <v>80</v>
      </c>
      <c r="G212">
        <v>362</v>
      </c>
      <c r="H212">
        <v>80</v>
      </c>
      <c r="I212">
        <v>1040</v>
      </c>
      <c r="J212">
        <v>349</v>
      </c>
      <c r="K212">
        <v>117</v>
      </c>
      <c r="L212" t="s">
        <v>25</v>
      </c>
      <c r="M212" s="21">
        <v>0.50192307692307703</v>
      </c>
      <c r="N212" s="21">
        <v>0.1125</v>
      </c>
      <c r="O212">
        <v>522</v>
      </c>
      <c r="P212" t="s">
        <v>24</v>
      </c>
      <c r="Q21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12" s="22">
        <f>_xlfn.XLOOKUP(TBL_Post_1[[#This Row],[Campaign_Name]],TBL_Campaign_Data_1[Campaign_Name],TBL_Campaign_Data_1[Start_Date])</f>
        <v>45453</v>
      </c>
      <c r="S212" s="22">
        <f>_xlfn.XLOOKUP(TBL_Post_1[[#This Row],[Campaign_Name]],TBL_Campaign_Data_1[Campaign_Name],TBL_Campaign_Data_1[End_Date])</f>
        <v>45478</v>
      </c>
    </row>
    <row r="213" spans="1:19">
      <c r="A213" t="s">
        <v>316</v>
      </c>
      <c r="B213" t="s">
        <v>27</v>
      </c>
      <c r="C213" s="22">
        <v>45567</v>
      </c>
      <c r="D213" t="s">
        <v>42</v>
      </c>
      <c r="E213" t="s">
        <v>43</v>
      </c>
      <c r="F213">
        <v>80</v>
      </c>
      <c r="G213">
        <v>362</v>
      </c>
      <c r="H213">
        <v>80</v>
      </c>
      <c r="I213">
        <v>1040</v>
      </c>
      <c r="J213">
        <v>349</v>
      </c>
      <c r="K213">
        <v>117</v>
      </c>
      <c r="L213" t="s">
        <v>25</v>
      </c>
      <c r="M213" s="21">
        <v>0.50192307692307703</v>
      </c>
      <c r="N213" s="21">
        <v>0.1125</v>
      </c>
      <c r="O213">
        <v>522</v>
      </c>
      <c r="P213" t="s">
        <v>58</v>
      </c>
      <c r="Q21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13" s="22">
        <f>_xlfn.XLOOKUP(TBL_Post_1[[#This Row],[Campaign_Name]],TBL_Campaign_Data_1[Campaign_Name],TBL_Campaign_Data_1[Start_Date])</f>
        <v>45453</v>
      </c>
      <c r="S213" s="22">
        <f>_xlfn.XLOOKUP(TBL_Post_1[[#This Row],[Campaign_Name]],TBL_Campaign_Data_1[Campaign_Name],TBL_Campaign_Data_1[End_Date])</f>
        <v>45478</v>
      </c>
    </row>
    <row r="214" spans="1:19">
      <c r="A214" t="s">
        <v>317</v>
      </c>
      <c r="B214" t="s">
        <v>27</v>
      </c>
      <c r="C214" s="22">
        <v>45593</v>
      </c>
      <c r="D214" t="s">
        <v>33</v>
      </c>
      <c r="E214" t="s">
        <v>34</v>
      </c>
      <c r="F214">
        <v>4929</v>
      </c>
      <c r="G214">
        <v>749</v>
      </c>
      <c r="H214">
        <v>452</v>
      </c>
      <c r="I214">
        <v>93651</v>
      </c>
      <c r="J214">
        <v>92810</v>
      </c>
      <c r="K214">
        <v>66</v>
      </c>
      <c r="L214" t="s">
        <v>19</v>
      </c>
      <c r="M214" s="21">
        <v>6.5455787978772204E-2</v>
      </c>
      <c r="N214" s="21">
        <v>7.0474420988563902E-4</v>
      </c>
      <c r="O214">
        <v>6130</v>
      </c>
      <c r="P214" t="s">
        <v>44</v>
      </c>
      <c r="Q21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14" s="22">
        <f>_xlfn.XLOOKUP(TBL_Post_1[[#This Row],[Campaign_Name]],TBL_Campaign_Data_1[Campaign_Name],TBL_Campaign_Data_1[Start_Date])</f>
        <v>45505</v>
      </c>
      <c r="S214" s="22">
        <f>_xlfn.XLOOKUP(TBL_Post_1[[#This Row],[Campaign_Name]],TBL_Campaign_Data_1[Campaign_Name],TBL_Campaign_Data_1[End_Date])</f>
        <v>45535</v>
      </c>
    </row>
    <row r="215" spans="1:19">
      <c r="A215" t="s">
        <v>317</v>
      </c>
      <c r="B215" t="s">
        <v>27</v>
      </c>
      <c r="C215" s="22">
        <v>45593</v>
      </c>
      <c r="D215" t="s">
        <v>33</v>
      </c>
      <c r="E215" t="s">
        <v>34</v>
      </c>
      <c r="F215">
        <v>4929</v>
      </c>
      <c r="G215">
        <v>749</v>
      </c>
      <c r="H215">
        <v>452</v>
      </c>
      <c r="I215">
        <v>93651</v>
      </c>
      <c r="J215">
        <v>92810</v>
      </c>
      <c r="K215">
        <v>66</v>
      </c>
      <c r="L215" t="s">
        <v>19</v>
      </c>
      <c r="M215" s="21">
        <v>6.5455787978772204E-2</v>
      </c>
      <c r="N215" s="21">
        <v>7.0474420988563902E-4</v>
      </c>
      <c r="O215">
        <v>6130</v>
      </c>
      <c r="P215" t="s">
        <v>58</v>
      </c>
      <c r="Q21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15" s="22">
        <f>_xlfn.XLOOKUP(TBL_Post_1[[#This Row],[Campaign_Name]],TBL_Campaign_Data_1[Campaign_Name],TBL_Campaign_Data_1[Start_Date])</f>
        <v>45505</v>
      </c>
      <c r="S215" s="22">
        <f>_xlfn.XLOOKUP(TBL_Post_1[[#This Row],[Campaign_Name]],TBL_Campaign_Data_1[Campaign_Name],TBL_Campaign_Data_1[End_Date])</f>
        <v>45535</v>
      </c>
    </row>
    <row r="216" spans="1:19">
      <c r="A216" t="s">
        <v>318</v>
      </c>
      <c r="B216" t="s">
        <v>31</v>
      </c>
      <c r="C216" s="22">
        <v>45516</v>
      </c>
      <c r="D216" t="s">
        <v>42</v>
      </c>
      <c r="E216" t="s">
        <v>43</v>
      </c>
      <c r="F216">
        <v>1878</v>
      </c>
      <c r="G216">
        <v>62</v>
      </c>
      <c r="H216">
        <v>179</v>
      </c>
      <c r="I216">
        <v>37560</v>
      </c>
      <c r="J216">
        <v>36874</v>
      </c>
      <c r="K216">
        <v>142</v>
      </c>
      <c r="L216" t="s">
        <v>19</v>
      </c>
      <c r="M216" s="21">
        <v>5.64164004259851E-2</v>
      </c>
      <c r="N216" s="21">
        <v>3.78061767838126E-3</v>
      </c>
      <c r="O216">
        <v>2119</v>
      </c>
      <c r="P216" t="s">
        <v>77</v>
      </c>
      <c r="Q21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216" s="22">
        <f>_xlfn.XLOOKUP(TBL_Post_1[[#This Row],[Campaign_Name]],TBL_Campaign_Data_1[Campaign_Name],TBL_Campaign_Data_1[Start_Date])</f>
        <v>45505</v>
      </c>
      <c r="S216" s="22">
        <f>_xlfn.XLOOKUP(TBL_Post_1[[#This Row],[Campaign_Name]],TBL_Campaign_Data_1[Campaign_Name],TBL_Campaign_Data_1[End_Date])</f>
        <v>45535</v>
      </c>
    </row>
    <row r="217" spans="1:19">
      <c r="A217" t="s">
        <v>318</v>
      </c>
      <c r="B217" t="s">
        <v>31</v>
      </c>
      <c r="C217" s="22">
        <v>45516</v>
      </c>
      <c r="D217" t="s">
        <v>42</v>
      </c>
      <c r="E217" t="s">
        <v>43</v>
      </c>
      <c r="F217">
        <v>1878</v>
      </c>
      <c r="G217">
        <v>62</v>
      </c>
      <c r="H217">
        <v>179</v>
      </c>
      <c r="I217">
        <v>37560</v>
      </c>
      <c r="J217">
        <v>36874</v>
      </c>
      <c r="K217">
        <v>142</v>
      </c>
      <c r="L217" t="s">
        <v>19</v>
      </c>
      <c r="M217" s="21">
        <v>5.64164004259851E-2</v>
      </c>
      <c r="N217" s="21">
        <v>3.78061767838126E-3</v>
      </c>
      <c r="O217">
        <v>2119</v>
      </c>
      <c r="P217" t="s">
        <v>44</v>
      </c>
      <c r="Q21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217" s="22">
        <f>_xlfn.XLOOKUP(TBL_Post_1[[#This Row],[Campaign_Name]],TBL_Campaign_Data_1[Campaign_Name],TBL_Campaign_Data_1[Start_Date])</f>
        <v>45505</v>
      </c>
      <c r="S217" s="22">
        <f>_xlfn.XLOOKUP(TBL_Post_1[[#This Row],[Campaign_Name]],TBL_Campaign_Data_1[Campaign_Name],TBL_Campaign_Data_1[End_Date])</f>
        <v>45535</v>
      </c>
    </row>
    <row r="218" spans="1:19">
      <c r="A218" t="s">
        <v>319</v>
      </c>
      <c r="B218" t="s">
        <v>27</v>
      </c>
      <c r="C218" s="22">
        <v>45448</v>
      </c>
      <c r="D218" t="s">
        <v>16</v>
      </c>
      <c r="E218" t="s">
        <v>17</v>
      </c>
      <c r="F218">
        <v>3065</v>
      </c>
      <c r="G218">
        <v>772</v>
      </c>
      <c r="H218">
        <v>142</v>
      </c>
      <c r="I218">
        <v>18390</v>
      </c>
      <c r="J218">
        <v>17875</v>
      </c>
      <c r="K218">
        <v>200</v>
      </c>
      <c r="L218" t="s">
        <v>19</v>
      </c>
      <c r="M218" s="21">
        <v>0.21636759108211001</v>
      </c>
      <c r="N218" s="21">
        <v>1.08754758020663E-2</v>
      </c>
      <c r="O218">
        <v>3979</v>
      </c>
      <c r="P218" t="s">
        <v>58</v>
      </c>
      <c r="Q21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18" s="22">
        <f>_xlfn.XLOOKUP(TBL_Post_1[[#This Row],[Campaign_Name]],TBL_Campaign_Data_1[Campaign_Name],TBL_Campaign_Data_1[Start_Date])</f>
        <v>45505</v>
      </c>
      <c r="S218" s="22">
        <f>_xlfn.XLOOKUP(TBL_Post_1[[#This Row],[Campaign_Name]],TBL_Campaign_Data_1[Campaign_Name],TBL_Campaign_Data_1[End_Date])</f>
        <v>45535</v>
      </c>
    </row>
    <row r="219" spans="1:19">
      <c r="A219" t="s">
        <v>321</v>
      </c>
      <c r="B219" t="s">
        <v>31</v>
      </c>
      <c r="C219" s="22">
        <v>45586</v>
      </c>
      <c r="D219" t="s">
        <v>16</v>
      </c>
      <c r="E219" t="s">
        <v>17</v>
      </c>
      <c r="F219">
        <v>3256</v>
      </c>
      <c r="G219">
        <v>459</v>
      </c>
      <c r="H219">
        <v>266</v>
      </c>
      <c r="I219">
        <v>26048</v>
      </c>
      <c r="J219">
        <v>25529</v>
      </c>
      <c r="K219">
        <v>143</v>
      </c>
      <c r="L219" t="s">
        <v>38</v>
      </c>
      <c r="M219" s="21">
        <v>0.15283323095823101</v>
      </c>
      <c r="N219" s="21">
        <v>5.48986486486486E-3</v>
      </c>
      <c r="O219">
        <v>3981</v>
      </c>
      <c r="P219" t="s">
        <v>18</v>
      </c>
      <c r="Q21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219" s="22">
        <f>_xlfn.XLOOKUP(TBL_Post_1[[#This Row],[Campaign_Name]],TBL_Campaign_Data_1[Campaign_Name],TBL_Campaign_Data_1[Start_Date])</f>
        <v>45570</v>
      </c>
      <c r="S219" s="22">
        <f>_xlfn.XLOOKUP(TBL_Post_1[[#This Row],[Campaign_Name]],TBL_Campaign_Data_1[Campaign_Name],TBL_Campaign_Data_1[End_Date])</f>
        <v>45601</v>
      </c>
    </row>
    <row r="220" spans="1:19">
      <c r="A220" t="s">
        <v>321</v>
      </c>
      <c r="B220" t="s">
        <v>31</v>
      </c>
      <c r="C220" s="22">
        <v>45586</v>
      </c>
      <c r="D220" t="s">
        <v>16</v>
      </c>
      <c r="E220" t="s">
        <v>17</v>
      </c>
      <c r="F220">
        <v>3256</v>
      </c>
      <c r="G220">
        <v>459</v>
      </c>
      <c r="H220">
        <v>266</v>
      </c>
      <c r="I220">
        <v>26048</v>
      </c>
      <c r="J220">
        <v>25529</v>
      </c>
      <c r="K220">
        <v>143</v>
      </c>
      <c r="L220" t="s">
        <v>38</v>
      </c>
      <c r="M220" s="21">
        <v>0.15283323095823101</v>
      </c>
      <c r="N220" s="21">
        <v>5.48986486486486E-3</v>
      </c>
      <c r="O220">
        <v>3981</v>
      </c>
      <c r="P220" t="s">
        <v>58</v>
      </c>
      <c r="Q22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220" s="22">
        <f>_xlfn.XLOOKUP(TBL_Post_1[[#This Row],[Campaign_Name]],TBL_Campaign_Data_1[Campaign_Name],TBL_Campaign_Data_1[Start_Date])</f>
        <v>45570</v>
      </c>
      <c r="S220" s="22">
        <f>_xlfn.XLOOKUP(TBL_Post_1[[#This Row],[Campaign_Name]],TBL_Campaign_Data_1[Campaign_Name],TBL_Campaign_Data_1[End_Date])</f>
        <v>45601</v>
      </c>
    </row>
    <row r="221" spans="1:19">
      <c r="A221" t="s">
        <v>322</v>
      </c>
      <c r="B221" t="s">
        <v>31</v>
      </c>
      <c r="C221" s="22">
        <v>45762</v>
      </c>
      <c r="D221" t="s">
        <v>69</v>
      </c>
      <c r="E221" t="s">
        <v>70</v>
      </c>
      <c r="F221">
        <v>4133</v>
      </c>
      <c r="G221">
        <v>466</v>
      </c>
      <c r="H221">
        <v>327</v>
      </c>
      <c r="I221">
        <v>24798</v>
      </c>
      <c r="J221">
        <v>24620</v>
      </c>
      <c r="K221">
        <v>176</v>
      </c>
      <c r="L221" t="s">
        <v>25</v>
      </c>
      <c r="M221" s="21">
        <v>0.19864505202032401</v>
      </c>
      <c r="N221" s="21">
        <v>7.0973465602064698E-3</v>
      </c>
      <c r="O221">
        <v>4926</v>
      </c>
      <c r="P221" t="s">
        <v>58</v>
      </c>
      <c r="Q22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21" s="22">
        <f>_xlfn.XLOOKUP(TBL_Post_1[[#This Row],[Campaign_Name]],TBL_Campaign_Data_1[Campaign_Name],TBL_Campaign_Data_1[Start_Date])</f>
        <v>45453</v>
      </c>
      <c r="S221" s="22">
        <f>_xlfn.XLOOKUP(TBL_Post_1[[#This Row],[Campaign_Name]],TBL_Campaign_Data_1[Campaign_Name],TBL_Campaign_Data_1[End_Date])</f>
        <v>45478</v>
      </c>
    </row>
    <row r="222" spans="1:19">
      <c r="A222" t="s">
        <v>323</v>
      </c>
      <c r="B222" t="s">
        <v>14</v>
      </c>
      <c r="C222" s="22">
        <v>45459</v>
      </c>
      <c r="D222" t="s">
        <v>69</v>
      </c>
      <c r="E222" t="s">
        <v>70</v>
      </c>
      <c r="F222">
        <v>1702</v>
      </c>
      <c r="G222">
        <v>750</v>
      </c>
      <c r="H222">
        <v>179</v>
      </c>
      <c r="I222">
        <v>34040</v>
      </c>
      <c r="J222">
        <v>33174</v>
      </c>
      <c r="K222">
        <v>76</v>
      </c>
      <c r="L222" t="s">
        <v>38</v>
      </c>
      <c r="M222" s="21">
        <v>7.7291421856639203E-2</v>
      </c>
      <c r="N222" s="21">
        <v>2.2326674500587501E-3</v>
      </c>
      <c r="O222">
        <v>2631</v>
      </c>
      <c r="P222" t="s">
        <v>44</v>
      </c>
      <c r="Q22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22" s="22">
        <f>_xlfn.XLOOKUP(TBL_Post_1[[#This Row],[Campaign_Name]],TBL_Campaign_Data_1[Campaign_Name],TBL_Campaign_Data_1[Start_Date])</f>
        <v>45570</v>
      </c>
      <c r="S222" s="22">
        <f>_xlfn.XLOOKUP(TBL_Post_1[[#This Row],[Campaign_Name]],TBL_Campaign_Data_1[Campaign_Name],TBL_Campaign_Data_1[End_Date])</f>
        <v>45601</v>
      </c>
    </row>
    <row r="223" spans="1:19">
      <c r="A223" t="s">
        <v>325</v>
      </c>
      <c r="B223" t="s">
        <v>27</v>
      </c>
      <c r="C223" s="22">
        <v>45526</v>
      </c>
      <c r="D223" t="s">
        <v>42</v>
      </c>
      <c r="E223" t="s">
        <v>43</v>
      </c>
      <c r="F223">
        <v>4295</v>
      </c>
      <c r="G223">
        <v>853</v>
      </c>
      <c r="H223">
        <v>325</v>
      </c>
      <c r="I223">
        <v>85900</v>
      </c>
      <c r="J223">
        <v>85788</v>
      </c>
      <c r="K223">
        <v>290</v>
      </c>
      <c r="L223" t="s">
        <v>25</v>
      </c>
      <c r="M223" s="21">
        <v>6.3713620488940595E-2</v>
      </c>
      <c r="N223" s="21">
        <v>3.3760186263096601E-3</v>
      </c>
      <c r="O223">
        <v>5473</v>
      </c>
      <c r="P223" t="s">
        <v>44</v>
      </c>
      <c r="Q22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23" s="22">
        <f>_xlfn.XLOOKUP(TBL_Post_1[[#This Row],[Campaign_Name]],TBL_Campaign_Data_1[Campaign_Name],TBL_Campaign_Data_1[Start_Date])</f>
        <v>45453</v>
      </c>
      <c r="S223" s="22">
        <f>_xlfn.XLOOKUP(TBL_Post_1[[#This Row],[Campaign_Name]],TBL_Campaign_Data_1[Campaign_Name],TBL_Campaign_Data_1[End_Date])</f>
        <v>45478</v>
      </c>
    </row>
    <row r="224" spans="1:19">
      <c r="A224" t="s">
        <v>325</v>
      </c>
      <c r="B224" t="s">
        <v>27</v>
      </c>
      <c r="C224" s="22">
        <v>45526</v>
      </c>
      <c r="D224" t="s">
        <v>42</v>
      </c>
      <c r="E224" t="s">
        <v>43</v>
      </c>
      <c r="F224">
        <v>4295</v>
      </c>
      <c r="G224">
        <v>853</v>
      </c>
      <c r="H224">
        <v>325</v>
      </c>
      <c r="I224">
        <v>85900</v>
      </c>
      <c r="J224">
        <v>85788</v>
      </c>
      <c r="K224">
        <v>290</v>
      </c>
      <c r="L224" t="s">
        <v>25</v>
      </c>
      <c r="M224" s="21">
        <v>6.3713620488940595E-2</v>
      </c>
      <c r="N224" s="21">
        <v>3.3760186263096601E-3</v>
      </c>
      <c r="O224">
        <v>5473</v>
      </c>
      <c r="P224" t="s">
        <v>18</v>
      </c>
      <c r="Q22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24" s="22">
        <f>_xlfn.XLOOKUP(TBL_Post_1[[#This Row],[Campaign_Name]],TBL_Campaign_Data_1[Campaign_Name],TBL_Campaign_Data_1[Start_Date])</f>
        <v>45453</v>
      </c>
      <c r="S224" s="22">
        <f>_xlfn.XLOOKUP(TBL_Post_1[[#This Row],[Campaign_Name]],TBL_Campaign_Data_1[Campaign_Name],TBL_Campaign_Data_1[End_Date])</f>
        <v>45478</v>
      </c>
    </row>
    <row r="225" spans="1:19">
      <c r="A225" t="s">
        <v>327</v>
      </c>
      <c r="B225" t="s">
        <v>31</v>
      </c>
      <c r="C225" s="22">
        <v>45499</v>
      </c>
      <c r="D225" t="s">
        <v>49</v>
      </c>
      <c r="E225" t="s">
        <v>50</v>
      </c>
      <c r="F225">
        <v>3559</v>
      </c>
      <c r="G225">
        <v>59</v>
      </c>
      <c r="H225">
        <v>289</v>
      </c>
      <c r="I225">
        <v>35590</v>
      </c>
      <c r="J225">
        <v>35105</v>
      </c>
      <c r="K225">
        <v>122</v>
      </c>
      <c r="L225" t="s">
        <v>38</v>
      </c>
      <c r="M225" s="21">
        <v>0.109778027535825</v>
      </c>
      <c r="N225" s="21">
        <v>3.4279291935937102E-3</v>
      </c>
      <c r="O225">
        <v>3907</v>
      </c>
      <c r="P225" t="s">
        <v>44</v>
      </c>
      <c r="Q22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25" s="22">
        <f>_xlfn.XLOOKUP(TBL_Post_1[[#This Row],[Campaign_Name]],TBL_Campaign_Data_1[Campaign_Name],TBL_Campaign_Data_1[Start_Date])</f>
        <v>45570</v>
      </c>
      <c r="S225" s="22">
        <f>_xlfn.XLOOKUP(TBL_Post_1[[#This Row],[Campaign_Name]],TBL_Campaign_Data_1[Campaign_Name],TBL_Campaign_Data_1[End_Date])</f>
        <v>45601</v>
      </c>
    </row>
    <row r="226" spans="1:19">
      <c r="A226" t="s">
        <v>327</v>
      </c>
      <c r="B226" t="s">
        <v>31</v>
      </c>
      <c r="C226" s="22">
        <v>45499</v>
      </c>
      <c r="D226" t="s">
        <v>49</v>
      </c>
      <c r="E226" t="s">
        <v>50</v>
      </c>
      <c r="F226">
        <v>3559</v>
      </c>
      <c r="G226">
        <v>59</v>
      </c>
      <c r="H226">
        <v>289</v>
      </c>
      <c r="I226">
        <v>35590</v>
      </c>
      <c r="J226">
        <v>35105</v>
      </c>
      <c r="K226">
        <v>122</v>
      </c>
      <c r="L226" t="s">
        <v>38</v>
      </c>
      <c r="M226" s="21">
        <v>0.109778027535825</v>
      </c>
      <c r="N226" s="21">
        <v>3.4279291935937102E-3</v>
      </c>
      <c r="O226">
        <v>3907</v>
      </c>
      <c r="P226" t="s">
        <v>58</v>
      </c>
      <c r="Q22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26" s="22">
        <f>_xlfn.XLOOKUP(TBL_Post_1[[#This Row],[Campaign_Name]],TBL_Campaign_Data_1[Campaign_Name],TBL_Campaign_Data_1[Start_Date])</f>
        <v>45570</v>
      </c>
      <c r="S226" s="22">
        <f>_xlfn.XLOOKUP(TBL_Post_1[[#This Row],[Campaign_Name]],TBL_Campaign_Data_1[Campaign_Name],TBL_Campaign_Data_1[End_Date])</f>
        <v>45601</v>
      </c>
    </row>
    <row r="227" spans="1:19">
      <c r="A227" t="s">
        <v>328</v>
      </c>
      <c r="B227" t="s">
        <v>40</v>
      </c>
      <c r="C227" s="22">
        <v>45769</v>
      </c>
      <c r="D227" t="s">
        <v>49</v>
      </c>
      <c r="E227" t="s">
        <v>50</v>
      </c>
      <c r="F227">
        <v>4804</v>
      </c>
      <c r="G227">
        <v>550</v>
      </c>
      <c r="H227">
        <v>270</v>
      </c>
      <c r="I227">
        <v>28824</v>
      </c>
      <c r="J227">
        <v>28370</v>
      </c>
      <c r="K227">
        <v>47</v>
      </c>
      <c r="L227" t="s">
        <v>55</v>
      </c>
      <c r="M227" s="21">
        <v>0.19511518179295001</v>
      </c>
      <c r="N227" s="21">
        <v>1.6305856230918699E-3</v>
      </c>
      <c r="O227">
        <v>5624</v>
      </c>
      <c r="P227" t="s">
        <v>18</v>
      </c>
      <c r="Q22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27" s="22">
        <f>_xlfn.XLOOKUP(TBL_Post_1[[#This Row],[Campaign_Name]],TBL_Campaign_Data_1[Campaign_Name],TBL_Campaign_Data_1[Start_Date])</f>
        <v>45667</v>
      </c>
      <c r="S227" s="22">
        <f>_xlfn.XLOOKUP(TBL_Post_1[[#This Row],[Campaign_Name]],TBL_Campaign_Data_1[Campaign_Name],TBL_Campaign_Data_1[End_Date])</f>
        <v>45698</v>
      </c>
    </row>
    <row r="228" spans="1:19">
      <c r="A228" t="s">
        <v>328</v>
      </c>
      <c r="B228" t="s">
        <v>40</v>
      </c>
      <c r="C228" s="22">
        <v>45769</v>
      </c>
      <c r="D228" t="s">
        <v>49</v>
      </c>
      <c r="E228" t="s">
        <v>50</v>
      </c>
      <c r="F228">
        <v>4804</v>
      </c>
      <c r="G228">
        <v>550</v>
      </c>
      <c r="H228">
        <v>270</v>
      </c>
      <c r="I228">
        <v>28824</v>
      </c>
      <c r="J228">
        <v>28370</v>
      </c>
      <c r="K228">
        <v>47</v>
      </c>
      <c r="L228" t="s">
        <v>55</v>
      </c>
      <c r="M228" s="21">
        <v>0.19511518179295001</v>
      </c>
      <c r="N228" s="21">
        <v>1.6305856230918699E-3</v>
      </c>
      <c r="O228">
        <v>5624</v>
      </c>
      <c r="P228" t="s">
        <v>58</v>
      </c>
      <c r="Q22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28" s="22">
        <f>_xlfn.XLOOKUP(TBL_Post_1[[#This Row],[Campaign_Name]],TBL_Campaign_Data_1[Campaign_Name],TBL_Campaign_Data_1[Start_Date])</f>
        <v>45667</v>
      </c>
      <c r="S228" s="22">
        <f>_xlfn.XLOOKUP(TBL_Post_1[[#This Row],[Campaign_Name]],TBL_Campaign_Data_1[Campaign_Name],TBL_Campaign_Data_1[End_Date])</f>
        <v>45698</v>
      </c>
    </row>
    <row r="229" spans="1:19">
      <c r="A229" t="s">
        <v>330</v>
      </c>
      <c r="B229" t="s">
        <v>14</v>
      </c>
      <c r="C229" s="22">
        <v>45658</v>
      </c>
      <c r="D229" t="s">
        <v>69</v>
      </c>
      <c r="E229" t="s">
        <v>70</v>
      </c>
      <c r="F229">
        <v>754</v>
      </c>
      <c r="G229">
        <v>197</v>
      </c>
      <c r="H229">
        <v>257</v>
      </c>
      <c r="I229">
        <v>6786</v>
      </c>
      <c r="J229">
        <v>6221</v>
      </c>
      <c r="K229">
        <v>212</v>
      </c>
      <c r="L229" t="s">
        <v>38</v>
      </c>
      <c r="M229" s="21">
        <v>0.17801355732390201</v>
      </c>
      <c r="N229" s="21">
        <v>3.12407898614795E-2</v>
      </c>
      <c r="O229">
        <v>1208</v>
      </c>
      <c r="P229" t="s">
        <v>77</v>
      </c>
      <c r="Q22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29" s="22">
        <f>_xlfn.XLOOKUP(TBL_Post_1[[#This Row],[Campaign_Name]],TBL_Campaign_Data_1[Campaign_Name],TBL_Campaign_Data_1[Start_Date])</f>
        <v>45570</v>
      </c>
      <c r="S229" s="22">
        <f>_xlfn.XLOOKUP(TBL_Post_1[[#This Row],[Campaign_Name]],TBL_Campaign_Data_1[Campaign_Name],TBL_Campaign_Data_1[End_Date])</f>
        <v>45601</v>
      </c>
    </row>
    <row r="230" spans="1:19">
      <c r="A230" t="s">
        <v>330</v>
      </c>
      <c r="B230" t="s">
        <v>14</v>
      </c>
      <c r="C230" s="22">
        <v>45658</v>
      </c>
      <c r="D230" t="s">
        <v>69</v>
      </c>
      <c r="E230" t="s">
        <v>70</v>
      </c>
      <c r="F230">
        <v>754</v>
      </c>
      <c r="G230">
        <v>197</v>
      </c>
      <c r="H230">
        <v>257</v>
      </c>
      <c r="I230">
        <v>6786</v>
      </c>
      <c r="J230">
        <v>6221</v>
      </c>
      <c r="K230">
        <v>212</v>
      </c>
      <c r="L230" t="s">
        <v>38</v>
      </c>
      <c r="M230" s="21">
        <v>0.17801355732390201</v>
      </c>
      <c r="N230" s="21">
        <v>3.12407898614795E-2</v>
      </c>
      <c r="O230">
        <v>1208</v>
      </c>
      <c r="P230" t="s">
        <v>44</v>
      </c>
      <c r="Q23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30" s="22">
        <f>_xlfn.XLOOKUP(TBL_Post_1[[#This Row],[Campaign_Name]],TBL_Campaign_Data_1[Campaign_Name],TBL_Campaign_Data_1[Start_Date])</f>
        <v>45570</v>
      </c>
      <c r="S230" s="22">
        <f>_xlfn.XLOOKUP(TBL_Post_1[[#This Row],[Campaign_Name]],TBL_Campaign_Data_1[Campaign_Name],TBL_Campaign_Data_1[End_Date])</f>
        <v>45601</v>
      </c>
    </row>
    <row r="231" spans="1:19">
      <c r="A231" t="s">
        <v>332</v>
      </c>
      <c r="B231" t="s">
        <v>31</v>
      </c>
      <c r="C231" s="22">
        <v>45574</v>
      </c>
      <c r="D231" t="s">
        <v>42</v>
      </c>
      <c r="E231" t="s">
        <v>43</v>
      </c>
      <c r="F231">
        <v>985</v>
      </c>
      <c r="G231">
        <v>932</v>
      </c>
      <c r="H231">
        <v>287</v>
      </c>
      <c r="I231">
        <v>6895</v>
      </c>
      <c r="J231">
        <v>6757</v>
      </c>
      <c r="K231">
        <v>64</v>
      </c>
      <c r="L231" t="s">
        <v>25</v>
      </c>
      <c r="M231" s="21">
        <v>0.31965192168237899</v>
      </c>
      <c r="N231" s="21">
        <v>9.2820884699057297E-3</v>
      </c>
      <c r="O231">
        <v>2204</v>
      </c>
      <c r="P231" t="s">
        <v>18</v>
      </c>
      <c r="Q23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31" s="22">
        <f>_xlfn.XLOOKUP(TBL_Post_1[[#This Row],[Campaign_Name]],TBL_Campaign_Data_1[Campaign_Name],TBL_Campaign_Data_1[Start_Date])</f>
        <v>45453</v>
      </c>
      <c r="S231" s="22">
        <f>_xlfn.XLOOKUP(TBL_Post_1[[#This Row],[Campaign_Name]],TBL_Campaign_Data_1[Campaign_Name],TBL_Campaign_Data_1[End_Date])</f>
        <v>45478</v>
      </c>
    </row>
    <row r="232" spans="1:19">
      <c r="A232" t="s">
        <v>332</v>
      </c>
      <c r="B232" t="s">
        <v>31</v>
      </c>
      <c r="C232" s="22">
        <v>45574</v>
      </c>
      <c r="D232" t="s">
        <v>42</v>
      </c>
      <c r="E232" t="s">
        <v>43</v>
      </c>
      <c r="F232">
        <v>985</v>
      </c>
      <c r="G232">
        <v>932</v>
      </c>
      <c r="H232">
        <v>287</v>
      </c>
      <c r="I232">
        <v>6895</v>
      </c>
      <c r="J232">
        <v>6757</v>
      </c>
      <c r="K232">
        <v>64</v>
      </c>
      <c r="L232" t="s">
        <v>25</v>
      </c>
      <c r="M232" s="21">
        <v>0.31965192168237899</v>
      </c>
      <c r="N232" s="21">
        <v>9.2820884699057297E-3</v>
      </c>
      <c r="O232">
        <v>2204</v>
      </c>
      <c r="P232" t="s">
        <v>24</v>
      </c>
      <c r="Q23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32" s="22">
        <f>_xlfn.XLOOKUP(TBL_Post_1[[#This Row],[Campaign_Name]],TBL_Campaign_Data_1[Campaign_Name],TBL_Campaign_Data_1[Start_Date])</f>
        <v>45453</v>
      </c>
      <c r="S232" s="22">
        <f>_xlfn.XLOOKUP(TBL_Post_1[[#This Row],[Campaign_Name]],TBL_Campaign_Data_1[Campaign_Name],TBL_Campaign_Data_1[End_Date])</f>
        <v>45478</v>
      </c>
    </row>
    <row r="233" spans="1:19">
      <c r="A233" t="s">
        <v>333</v>
      </c>
      <c r="B233" t="s">
        <v>27</v>
      </c>
      <c r="C233" s="22">
        <v>45647</v>
      </c>
      <c r="D233" t="s">
        <v>49</v>
      </c>
      <c r="E233" t="s">
        <v>50</v>
      </c>
      <c r="F233">
        <v>2283</v>
      </c>
      <c r="G233">
        <v>210</v>
      </c>
      <c r="H233">
        <v>130</v>
      </c>
      <c r="I233">
        <v>22830</v>
      </c>
      <c r="J233">
        <v>22617</v>
      </c>
      <c r="K233">
        <v>143</v>
      </c>
      <c r="L233" t="s">
        <v>38</v>
      </c>
      <c r="M233" s="21">
        <v>0.11489268506351299</v>
      </c>
      <c r="N233" s="21">
        <v>6.2636881296539602E-3</v>
      </c>
      <c r="O233">
        <v>2623</v>
      </c>
      <c r="P233" t="s">
        <v>24</v>
      </c>
      <c r="Q23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33" s="22">
        <f>_xlfn.XLOOKUP(TBL_Post_1[[#This Row],[Campaign_Name]],TBL_Campaign_Data_1[Campaign_Name],TBL_Campaign_Data_1[Start_Date])</f>
        <v>45570</v>
      </c>
      <c r="S233" s="22">
        <f>_xlfn.XLOOKUP(TBL_Post_1[[#This Row],[Campaign_Name]],TBL_Campaign_Data_1[Campaign_Name],TBL_Campaign_Data_1[End_Date])</f>
        <v>45601</v>
      </c>
    </row>
    <row r="234" spans="1:19">
      <c r="A234" t="s">
        <v>333</v>
      </c>
      <c r="B234" t="s">
        <v>27</v>
      </c>
      <c r="C234" s="22">
        <v>45647</v>
      </c>
      <c r="D234" t="s">
        <v>49</v>
      </c>
      <c r="E234" t="s">
        <v>50</v>
      </c>
      <c r="F234">
        <v>2283</v>
      </c>
      <c r="G234">
        <v>210</v>
      </c>
      <c r="H234">
        <v>130</v>
      </c>
      <c r="I234">
        <v>22830</v>
      </c>
      <c r="J234">
        <v>22617</v>
      </c>
      <c r="K234">
        <v>143</v>
      </c>
      <c r="L234" t="s">
        <v>38</v>
      </c>
      <c r="M234" s="21">
        <v>0.11489268506351299</v>
      </c>
      <c r="N234" s="21">
        <v>6.2636881296539602E-3</v>
      </c>
      <c r="O234">
        <v>2623</v>
      </c>
      <c r="P234" t="s">
        <v>58</v>
      </c>
      <c r="Q23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34" s="22">
        <f>_xlfn.XLOOKUP(TBL_Post_1[[#This Row],[Campaign_Name]],TBL_Campaign_Data_1[Campaign_Name],TBL_Campaign_Data_1[Start_Date])</f>
        <v>45570</v>
      </c>
      <c r="S234" s="22">
        <f>_xlfn.XLOOKUP(TBL_Post_1[[#This Row],[Campaign_Name]],TBL_Campaign_Data_1[Campaign_Name],TBL_Campaign_Data_1[End_Date])</f>
        <v>45601</v>
      </c>
    </row>
    <row r="235" spans="1:19">
      <c r="A235" t="s">
        <v>335</v>
      </c>
      <c r="B235" t="s">
        <v>40</v>
      </c>
      <c r="C235" s="22">
        <v>45587</v>
      </c>
      <c r="D235" t="s">
        <v>42</v>
      </c>
      <c r="E235" t="s">
        <v>43</v>
      </c>
      <c r="F235">
        <v>3352</v>
      </c>
      <c r="G235">
        <v>941</v>
      </c>
      <c r="H235">
        <v>482</v>
      </c>
      <c r="I235">
        <v>43576</v>
      </c>
      <c r="J235">
        <v>43338</v>
      </c>
      <c r="K235">
        <v>240</v>
      </c>
      <c r="L235" t="s">
        <v>38</v>
      </c>
      <c r="M235" s="21">
        <v>0.109578667156233</v>
      </c>
      <c r="N235" s="21">
        <v>5.5076188727740004E-3</v>
      </c>
      <c r="O235">
        <v>4775</v>
      </c>
      <c r="P235" t="s">
        <v>44</v>
      </c>
      <c r="Q23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235" s="22">
        <f>_xlfn.XLOOKUP(TBL_Post_1[[#This Row],[Campaign_Name]],TBL_Campaign_Data_1[Campaign_Name],TBL_Campaign_Data_1[Start_Date])</f>
        <v>45570</v>
      </c>
      <c r="S235" s="22">
        <f>_xlfn.XLOOKUP(TBL_Post_1[[#This Row],[Campaign_Name]],TBL_Campaign_Data_1[Campaign_Name],TBL_Campaign_Data_1[End_Date])</f>
        <v>45601</v>
      </c>
    </row>
    <row r="236" spans="1:19">
      <c r="A236" t="s">
        <v>337</v>
      </c>
      <c r="B236" t="s">
        <v>27</v>
      </c>
      <c r="C236" s="22">
        <v>45496</v>
      </c>
      <c r="D236" t="s">
        <v>33</v>
      </c>
      <c r="E236" t="s">
        <v>34</v>
      </c>
      <c r="F236">
        <v>4775</v>
      </c>
      <c r="G236">
        <v>173</v>
      </c>
      <c r="H236">
        <v>206</v>
      </c>
      <c r="I236">
        <v>47750</v>
      </c>
      <c r="J236">
        <v>47544</v>
      </c>
      <c r="K236">
        <v>187</v>
      </c>
      <c r="L236" t="s">
        <v>55</v>
      </c>
      <c r="M236" s="21">
        <v>0.107937172774869</v>
      </c>
      <c r="N236" s="21">
        <v>3.9162303664921497E-3</v>
      </c>
      <c r="O236">
        <v>5154</v>
      </c>
      <c r="P236" t="s">
        <v>58</v>
      </c>
      <c r="Q23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36" s="22">
        <f>_xlfn.XLOOKUP(TBL_Post_1[[#This Row],[Campaign_Name]],TBL_Campaign_Data_1[Campaign_Name],TBL_Campaign_Data_1[Start_Date])</f>
        <v>45667</v>
      </c>
      <c r="S236" s="22">
        <f>_xlfn.XLOOKUP(TBL_Post_1[[#This Row],[Campaign_Name]],TBL_Campaign_Data_1[Campaign_Name],TBL_Campaign_Data_1[End_Date])</f>
        <v>45698</v>
      </c>
    </row>
    <row r="237" spans="1:19">
      <c r="A237" t="s">
        <v>337</v>
      </c>
      <c r="B237" t="s">
        <v>27</v>
      </c>
      <c r="C237" s="22">
        <v>45496</v>
      </c>
      <c r="D237" t="s">
        <v>33</v>
      </c>
      <c r="E237" t="s">
        <v>34</v>
      </c>
      <c r="F237">
        <v>4775</v>
      </c>
      <c r="G237">
        <v>173</v>
      </c>
      <c r="H237">
        <v>206</v>
      </c>
      <c r="I237">
        <v>47750</v>
      </c>
      <c r="J237">
        <v>47544</v>
      </c>
      <c r="K237">
        <v>187</v>
      </c>
      <c r="L237" t="s">
        <v>55</v>
      </c>
      <c r="M237" s="21">
        <v>0.107937172774869</v>
      </c>
      <c r="N237" s="21">
        <v>3.9162303664921497E-3</v>
      </c>
      <c r="O237">
        <v>5154</v>
      </c>
      <c r="P237" t="s">
        <v>44</v>
      </c>
      <c r="Q23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37" s="22">
        <f>_xlfn.XLOOKUP(TBL_Post_1[[#This Row],[Campaign_Name]],TBL_Campaign_Data_1[Campaign_Name],TBL_Campaign_Data_1[Start_Date])</f>
        <v>45667</v>
      </c>
      <c r="S237" s="22">
        <f>_xlfn.XLOOKUP(TBL_Post_1[[#This Row],[Campaign_Name]],TBL_Campaign_Data_1[Campaign_Name],TBL_Campaign_Data_1[End_Date])</f>
        <v>45698</v>
      </c>
    </row>
    <row r="238" spans="1:19">
      <c r="A238" t="s">
        <v>339</v>
      </c>
      <c r="B238" t="s">
        <v>31</v>
      </c>
      <c r="C238" s="22">
        <v>45515</v>
      </c>
      <c r="D238" t="s">
        <v>33</v>
      </c>
      <c r="E238" t="s">
        <v>34</v>
      </c>
      <c r="F238">
        <v>1762</v>
      </c>
      <c r="G238">
        <v>405</v>
      </c>
      <c r="H238">
        <v>423</v>
      </c>
      <c r="I238">
        <v>22906</v>
      </c>
      <c r="J238">
        <v>21925</v>
      </c>
      <c r="K238">
        <v>25</v>
      </c>
      <c r="L238" t="s">
        <v>25</v>
      </c>
      <c r="M238" s="21">
        <v>0.113070811141186</v>
      </c>
      <c r="N238" s="21">
        <v>1.0914170959573899E-3</v>
      </c>
      <c r="O238">
        <v>2590</v>
      </c>
      <c r="P238" t="s">
        <v>77</v>
      </c>
      <c r="Q23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38" s="22">
        <f>_xlfn.XLOOKUP(TBL_Post_1[[#This Row],[Campaign_Name]],TBL_Campaign_Data_1[Campaign_Name],TBL_Campaign_Data_1[Start_Date])</f>
        <v>45453</v>
      </c>
      <c r="S238" s="22">
        <f>_xlfn.XLOOKUP(TBL_Post_1[[#This Row],[Campaign_Name]],TBL_Campaign_Data_1[Campaign_Name],TBL_Campaign_Data_1[End_Date])</f>
        <v>45478</v>
      </c>
    </row>
    <row r="239" spans="1:19">
      <c r="A239" t="s">
        <v>341</v>
      </c>
      <c r="B239" t="s">
        <v>40</v>
      </c>
      <c r="C239" s="22">
        <v>45621</v>
      </c>
      <c r="D239" t="s">
        <v>33</v>
      </c>
      <c r="E239" t="s">
        <v>34</v>
      </c>
      <c r="F239">
        <v>2120</v>
      </c>
      <c r="G239">
        <v>158</v>
      </c>
      <c r="H239">
        <v>488</v>
      </c>
      <c r="I239">
        <v>12720</v>
      </c>
      <c r="J239">
        <v>12085</v>
      </c>
      <c r="K239">
        <v>17</v>
      </c>
      <c r="L239" t="s">
        <v>25</v>
      </c>
      <c r="M239" s="21">
        <v>0.217452830188679</v>
      </c>
      <c r="N239" s="21">
        <v>1.3364779874213801E-3</v>
      </c>
      <c r="O239">
        <v>2766</v>
      </c>
      <c r="P239" t="s">
        <v>58</v>
      </c>
      <c r="Q23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39" s="22">
        <f>_xlfn.XLOOKUP(TBL_Post_1[[#This Row],[Campaign_Name]],TBL_Campaign_Data_1[Campaign_Name],TBL_Campaign_Data_1[Start_Date])</f>
        <v>45453</v>
      </c>
      <c r="S239" s="22">
        <f>_xlfn.XLOOKUP(TBL_Post_1[[#This Row],[Campaign_Name]],TBL_Campaign_Data_1[Campaign_Name],TBL_Campaign_Data_1[End_Date])</f>
        <v>45478</v>
      </c>
    </row>
    <row r="240" spans="1:19">
      <c r="A240" t="s">
        <v>341</v>
      </c>
      <c r="B240" t="s">
        <v>40</v>
      </c>
      <c r="C240" s="22">
        <v>45621</v>
      </c>
      <c r="D240" t="s">
        <v>33</v>
      </c>
      <c r="E240" t="s">
        <v>34</v>
      </c>
      <c r="F240">
        <v>2120</v>
      </c>
      <c r="G240">
        <v>158</v>
      </c>
      <c r="H240">
        <v>488</v>
      </c>
      <c r="I240">
        <v>12720</v>
      </c>
      <c r="J240">
        <v>12085</v>
      </c>
      <c r="K240">
        <v>17</v>
      </c>
      <c r="L240" t="s">
        <v>25</v>
      </c>
      <c r="M240" s="21">
        <v>0.217452830188679</v>
      </c>
      <c r="N240" s="21">
        <v>1.3364779874213801E-3</v>
      </c>
      <c r="O240">
        <v>2766</v>
      </c>
      <c r="P240" t="s">
        <v>44</v>
      </c>
      <c r="Q24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40" s="22">
        <f>_xlfn.XLOOKUP(TBL_Post_1[[#This Row],[Campaign_Name]],TBL_Campaign_Data_1[Campaign_Name],TBL_Campaign_Data_1[Start_Date])</f>
        <v>45453</v>
      </c>
      <c r="S240" s="22">
        <f>_xlfn.XLOOKUP(TBL_Post_1[[#This Row],[Campaign_Name]],TBL_Campaign_Data_1[Campaign_Name],TBL_Campaign_Data_1[End_Date])</f>
        <v>45478</v>
      </c>
    </row>
    <row r="241" spans="1:19">
      <c r="A241" t="s">
        <v>342</v>
      </c>
      <c r="B241" t="s">
        <v>14</v>
      </c>
      <c r="C241" s="22">
        <v>45528</v>
      </c>
      <c r="D241" t="s">
        <v>69</v>
      </c>
      <c r="E241" t="s">
        <v>70</v>
      </c>
      <c r="F241">
        <v>1082</v>
      </c>
      <c r="G241">
        <v>209</v>
      </c>
      <c r="H241">
        <v>484</v>
      </c>
      <c r="I241">
        <v>19476</v>
      </c>
      <c r="J241">
        <v>18654</v>
      </c>
      <c r="K241">
        <v>20</v>
      </c>
      <c r="L241" t="s">
        <v>55</v>
      </c>
      <c r="M241" s="21">
        <v>9.1137810638734898E-2</v>
      </c>
      <c r="N241" s="21">
        <v>1.0269049086054599E-3</v>
      </c>
      <c r="O241">
        <v>1775</v>
      </c>
      <c r="P241" t="s">
        <v>58</v>
      </c>
      <c r="Q24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41" s="22">
        <f>_xlfn.XLOOKUP(TBL_Post_1[[#This Row],[Campaign_Name]],TBL_Campaign_Data_1[Campaign_Name],TBL_Campaign_Data_1[Start_Date])</f>
        <v>45667</v>
      </c>
      <c r="S241" s="22">
        <f>_xlfn.XLOOKUP(TBL_Post_1[[#This Row],[Campaign_Name]],TBL_Campaign_Data_1[Campaign_Name],TBL_Campaign_Data_1[End_Date])</f>
        <v>45698</v>
      </c>
    </row>
    <row r="242" spans="1:19">
      <c r="A242" t="s">
        <v>344</v>
      </c>
      <c r="B242" t="s">
        <v>14</v>
      </c>
      <c r="C242" s="22">
        <v>45707</v>
      </c>
      <c r="D242" t="s">
        <v>22</v>
      </c>
      <c r="E242" t="s">
        <v>23</v>
      </c>
      <c r="F242">
        <v>4671</v>
      </c>
      <c r="G242">
        <v>876</v>
      </c>
      <c r="H242">
        <v>366</v>
      </c>
      <c r="I242">
        <v>51381</v>
      </c>
      <c r="J242">
        <v>50565</v>
      </c>
      <c r="K242">
        <v>245</v>
      </c>
      <c r="L242" t="s">
        <v>25</v>
      </c>
      <c r="M242" s="21">
        <v>0.115081450341566</v>
      </c>
      <c r="N242" s="21">
        <v>4.7682995659874298E-3</v>
      </c>
      <c r="O242">
        <v>5913</v>
      </c>
      <c r="P242" t="s">
        <v>18</v>
      </c>
      <c r="Q24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42" s="22">
        <f>_xlfn.XLOOKUP(TBL_Post_1[[#This Row],[Campaign_Name]],TBL_Campaign_Data_1[Campaign_Name],TBL_Campaign_Data_1[Start_Date])</f>
        <v>45453</v>
      </c>
      <c r="S242" s="22">
        <f>_xlfn.XLOOKUP(TBL_Post_1[[#This Row],[Campaign_Name]],TBL_Campaign_Data_1[Campaign_Name],TBL_Campaign_Data_1[End_Date])</f>
        <v>45478</v>
      </c>
    </row>
    <row r="243" spans="1:19">
      <c r="A243" t="s">
        <v>346</v>
      </c>
      <c r="B243" t="s">
        <v>40</v>
      </c>
      <c r="C243" s="22">
        <v>45748</v>
      </c>
      <c r="D243" t="s">
        <v>33</v>
      </c>
      <c r="E243" t="s">
        <v>34</v>
      </c>
      <c r="F243">
        <v>3430</v>
      </c>
      <c r="G243">
        <v>566</v>
      </c>
      <c r="H243">
        <v>164</v>
      </c>
      <c r="I243">
        <v>48020</v>
      </c>
      <c r="J243">
        <v>47305</v>
      </c>
      <c r="K243">
        <v>120</v>
      </c>
      <c r="L243" t="s">
        <v>25</v>
      </c>
      <c r="M243" s="21">
        <v>8.6630570595585196E-2</v>
      </c>
      <c r="N243" s="21">
        <v>2.49895876718034E-3</v>
      </c>
      <c r="O243">
        <v>4160</v>
      </c>
      <c r="P243" t="s">
        <v>44</v>
      </c>
      <c r="Q24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43" s="22">
        <f>_xlfn.XLOOKUP(TBL_Post_1[[#This Row],[Campaign_Name]],TBL_Campaign_Data_1[Campaign_Name],TBL_Campaign_Data_1[Start_Date])</f>
        <v>45453</v>
      </c>
      <c r="S243" s="22">
        <f>_xlfn.XLOOKUP(TBL_Post_1[[#This Row],[Campaign_Name]],TBL_Campaign_Data_1[Campaign_Name],TBL_Campaign_Data_1[End_Date])</f>
        <v>45478</v>
      </c>
    </row>
    <row r="244" spans="1:19">
      <c r="A244" t="s">
        <v>348</v>
      </c>
      <c r="B244" t="s">
        <v>31</v>
      </c>
      <c r="C244" s="22">
        <v>45755</v>
      </c>
      <c r="D244" t="s">
        <v>49</v>
      </c>
      <c r="E244" t="s">
        <v>50</v>
      </c>
      <c r="F244">
        <v>4501</v>
      </c>
      <c r="G244">
        <v>375</v>
      </c>
      <c r="H244">
        <v>323</v>
      </c>
      <c r="I244">
        <v>22505</v>
      </c>
      <c r="J244">
        <v>21836</v>
      </c>
      <c r="K244">
        <v>132</v>
      </c>
      <c r="L244" t="s">
        <v>55</v>
      </c>
      <c r="M244" s="21">
        <v>0.231015329926683</v>
      </c>
      <c r="N244" s="21">
        <v>5.8653632526105299E-3</v>
      </c>
      <c r="O244">
        <v>5199</v>
      </c>
      <c r="P244" t="s">
        <v>24</v>
      </c>
      <c r="Q24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44" s="22">
        <f>_xlfn.XLOOKUP(TBL_Post_1[[#This Row],[Campaign_Name]],TBL_Campaign_Data_1[Campaign_Name],TBL_Campaign_Data_1[Start_Date])</f>
        <v>45667</v>
      </c>
      <c r="S244" s="22">
        <f>_xlfn.XLOOKUP(TBL_Post_1[[#This Row],[Campaign_Name]],TBL_Campaign_Data_1[Campaign_Name],TBL_Campaign_Data_1[End_Date])</f>
        <v>45698</v>
      </c>
    </row>
    <row r="245" spans="1:19">
      <c r="A245" t="s">
        <v>350</v>
      </c>
      <c r="B245" t="s">
        <v>27</v>
      </c>
      <c r="C245" s="22">
        <v>45715</v>
      </c>
      <c r="D245" t="s">
        <v>22</v>
      </c>
      <c r="E245" t="s">
        <v>23</v>
      </c>
      <c r="F245">
        <v>4934</v>
      </c>
      <c r="G245">
        <v>971</v>
      </c>
      <c r="H245">
        <v>156</v>
      </c>
      <c r="I245">
        <v>39472</v>
      </c>
      <c r="J245">
        <v>39025</v>
      </c>
      <c r="K245">
        <v>169</v>
      </c>
      <c r="L245" t="s">
        <v>25</v>
      </c>
      <c r="M245" s="21">
        <v>0.15355188488042201</v>
      </c>
      <c r="N245" s="21">
        <v>4.2815160113498204E-3</v>
      </c>
      <c r="O245">
        <v>6061</v>
      </c>
      <c r="P245" t="s">
        <v>77</v>
      </c>
      <c r="Q24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45" s="22">
        <f>_xlfn.XLOOKUP(TBL_Post_1[[#This Row],[Campaign_Name]],TBL_Campaign_Data_1[Campaign_Name],TBL_Campaign_Data_1[Start_Date])</f>
        <v>45453</v>
      </c>
      <c r="S245" s="22">
        <f>_xlfn.XLOOKUP(TBL_Post_1[[#This Row],[Campaign_Name]],TBL_Campaign_Data_1[Campaign_Name],TBL_Campaign_Data_1[End_Date])</f>
        <v>45478</v>
      </c>
    </row>
    <row r="246" spans="1:19">
      <c r="A246" t="s">
        <v>350</v>
      </c>
      <c r="B246" t="s">
        <v>27</v>
      </c>
      <c r="C246" s="22">
        <v>45715</v>
      </c>
      <c r="D246" t="s">
        <v>22</v>
      </c>
      <c r="E246" t="s">
        <v>23</v>
      </c>
      <c r="F246">
        <v>4934</v>
      </c>
      <c r="G246">
        <v>971</v>
      </c>
      <c r="H246">
        <v>156</v>
      </c>
      <c r="I246">
        <v>39472</v>
      </c>
      <c r="J246">
        <v>39025</v>
      </c>
      <c r="K246">
        <v>169</v>
      </c>
      <c r="L246" t="s">
        <v>25</v>
      </c>
      <c r="M246" s="21">
        <v>0.15355188488042201</v>
      </c>
      <c r="N246" s="21">
        <v>4.2815160113498204E-3</v>
      </c>
      <c r="O246">
        <v>6061</v>
      </c>
      <c r="P246" t="s">
        <v>58</v>
      </c>
      <c r="Q24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46" s="22">
        <f>_xlfn.XLOOKUP(TBL_Post_1[[#This Row],[Campaign_Name]],TBL_Campaign_Data_1[Campaign_Name],TBL_Campaign_Data_1[Start_Date])</f>
        <v>45453</v>
      </c>
      <c r="S246" s="22">
        <f>_xlfn.XLOOKUP(TBL_Post_1[[#This Row],[Campaign_Name]],TBL_Campaign_Data_1[Campaign_Name],TBL_Campaign_Data_1[End_Date])</f>
        <v>45478</v>
      </c>
    </row>
    <row r="247" spans="1:19">
      <c r="A247" t="s">
        <v>351</v>
      </c>
      <c r="B247" t="s">
        <v>14</v>
      </c>
      <c r="C247" s="22">
        <v>45637</v>
      </c>
      <c r="D247" t="s">
        <v>22</v>
      </c>
      <c r="E247" t="s">
        <v>23</v>
      </c>
      <c r="F247">
        <v>3239</v>
      </c>
      <c r="G247">
        <v>43</v>
      </c>
      <c r="H247">
        <v>211</v>
      </c>
      <c r="I247">
        <v>22673</v>
      </c>
      <c r="J247">
        <v>22171</v>
      </c>
      <c r="K247">
        <v>230</v>
      </c>
      <c r="L247" t="s">
        <v>25</v>
      </c>
      <c r="M247" s="21">
        <v>0.15405989502933001</v>
      </c>
      <c r="N247" s="21">
        <v>1.0144224407886E-2</v>
      </c>
      <c r="O247">
        <v>3493</v>
      </c>
      <c r="P247" t="s">
        <v>44</v>
      </c>
      <c r="Q24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47" s="22">
        <f>_xlfn.XLOOKUP(TBL_Post_1[[#This Row],[Campaign_Name]],TBL_Campaign_Data_1[Campaign_Name],TBL_Campaign_Data_1[Start_Date])</f>
        <v>45453</v>
      </c>
      <c r="S247" s="22">
        <f>_xlfn.XLOOKUP(TBL_Post_1[[#This Row],[Campaign_Name]],TBL_Campaign_Data_1[Campaign_Name],TBL_Campaign_Data_1[End_Date])</f>
        <v>45478</v>
      </c>
    </row>
    <row r="248" spans="1:19">
      <c r="A248" t="s">
        <v>351</v>
      </c>
      <c r="B248" t="s">
        <v>14</v>
      </c>
      <c r="C248" s="22">
        <v>45637</v>
      </c>
      <c r="D248" t="s">
        <v>22</v>
      </c>
      <c r="E248" t="s">
        <v>23</v>
      </c>
      <c r="F248">
        <v>3239</v>
      </c>
      <c r="G248">
        <v>43</v>
      </c>
      <c r="H248">
        <v>211</v>
      </c>
      <c r="I248">
        <v>22673</v>
      </c>
      <c r="J248">
        <v>22171</v>
      </c>
      <c r="K248">
        <v>230</v>
      </c>
      <c r="L248" t="s">
        <v>25</v>
      </c>
      <c r="M248" s="21">
        <v>0.15405989502933001</v>
      </c>
      <c r="N248" s="21">
        <v>1.0144224407886E-2</v>
      </c>
      <c r="O248">
        <v>3493</v>
      </c>
      <c r="P248" t="s">
        <v>58</v>
      </c>
      <c r="Q24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48" s="22">
        <f>_xlfn.XLOOKUP(TBL_Post_1[[#This Row],[Campaign_Name]],TBL_Campaign_Data_1[Campaign_Name],TBL_Campaign_Data_1[Start_Date])</f>
        <v>45453</v>
      </c>
      <c r="S248" s="22">
        <f>_xlfn.XLOOKUP(TBL_Post_1[[#This Row],[Campaign_Name]],TBL_Campaign_Data_1[Campaign_Name],TBL_Campaign_Data_1[End_Date])</f>
        <v>45478</v>
      </c>
    </row>
    <row r="249" spans="1:19">
      <c r="A249" t="s">
        <v>352</v>
      </c>
      <c r="B249" t="s">
        <v>14</v>
      </c>
      <c r="C249" s="22">
        <v>45704</v>
      </c>
      <c r="D249" t="s">
        <v>16</v>
      </c>
      <c r="E249" t="s">
        <v>17</v>
      </c>
      <c r="F249">
        <v>1076</v>
      </c>
      <c r="G249">
        <v>313</v>
      </c>
      <c r="H249">
        <v>306</v>
      </c>
      <c r="I249">
        <v>11836</v>
      </c>
      <c r="J249">
        <v>11596</v>
      </c>
      <c r="K249">
        <v>104</v>
      </c>
      <c r="L249" t="s">
        <v>25</v>
      </c>
      <c r="M249" s="21">
        <v>0.143207164582629</v>
      </c>
      <c r="N249" s="21">
        <v>8.7867522811760704E-3</v>
      </c>
      <c r="O249">
        <v>1695</v>
      </c>
      <c r="P249" t="s">
        <v>77</v>
      </c>
      <c r="Q24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49" s="22">
        <f>_xlfn.XLOOKUP(TBL_Post_1[[#This Row],[Campaign_Name]],TBL_Campaign_Data_1[Campaign_Name],TBL_Campaign_Data_1[Start_Date])</f>
        <v>45453</v>
      </c>
      <c r="S249" s="22">
        <f>_xlfn.XLOOKUP(TBL_Post_1[[#This Row],[Campaign_Name]],TBL_Campaign_Data_1[Campaign_Name],TBL_Campaign_Data_1[End_Date])</f>
        <v>45478</v>
      </c>
    </row>
    <row r="250" spans="1:19">
      <c r="A250" t="s">
        <v>353</v>
      </c>
      <c r="B250" t="s">
        <v>31</v>
      </c>
      <c r="C250" s="22">
        <v>45624</v>
      </c>
      <c r="D250" t="s">
        <v>22</v>
      </c>
      <c r="E250" t="s">
        <v>23</v>
      </c>
      <c r="F250">
        <v>4771</v>
      </c>
      <c r="G250">
        <v>818</v>
      </c>
      <c r="H250">
        <v>56</v>
      </c>
      <c r="I250">
        <v>57252</v>
      </c>
      <c r="J250">
        <v>56378</v>
      </c>
      <c r="K250">
        <v>150</v>
      </c>
      <c r="L250" t="s">
        <v>25</v>
      </c>
      <c r="M250" s="21">
        <v>9.8599175574652406E-2</v>
      </c>
      <c r="N250" s="21">
        <v>2.6199958080067101E-3</v>
      </c>
      <c r="O250">
        <v>5645</v>
      </c>
      <c r="P250" t="s">
        <v>18</v>
      </c>
      <c r="Q25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50" s="22">
        <f>_xlfn.XLOOKUP(TBL_Post_1[[#This Row],[Campaign_Name]],TBL_Campaign_Data_1[Campaign_Name],TBL_Campaign_Data_1[Start_Date])</f>
        <v>45453</v>
      </c>
      <c r="S250" s="22">
        <f>_xlfn.XLOOKUP(TBL_Post_1[[#This Row],[Campaign_Name]],TBL_Campaign_Data_1[Campaign_Name],TBL_Campaign_Data_1[End_Date])</f>
        <v>45478</v>
      </c>
    </row>
    <row r="251" spans="1:19">
      <c r="A251" t="s">
        <v>354</v>
      </c>
      <c r="B251" t="s">
        <v>40</v>
      </c>
      <c r="C251" s="22">
        <v>45608</v>
      </c>
      <c r="D251" t="s">
        <v>22</v>
      </c>
      <c r="E251" t="s">
        <v>23</v>
      </c>
      <c r="F251">
        <v>2418</v>
      </c>
      <c r="G251">
        <v>754</v>
      </c>
      <c r="H251">
        <v>54</v>
      </c>
      <c r="I251">
        <v>43524</v>
      </c>
      <c r="J251">
        <v>42743</v>
      </c>
      <c r="K251">
        <v>182</v>
      </c>
      <c r="L251" t="s">
        <v>55</v>
      </c>
      <c r="M251" s="21">
        <v>7.4120025732929001E-2</v>
      </c>
      <c r="N251" s="21">
        <v>4.1816009557944997E-3</v>
      </c>
      <c r="O251">
        <v>3226</v>
      </c>
      <c r="P251" t="s">
        <v>24</v>
      </c>
      <c r="Q25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51" s="22">
        <f>_xlfn.XLOOKUP(TBL_Post_1[[#This Row],[Campaign_Name]],TBL_Campaign_Data_1[Campaign_Name],TBL_Campaign_Data_1[Start_Date])</f>
        <v>45667</v>
      </c>
      <c r="S251" s="22">
        <f>_xlfn.XLOOKUP(TBL_Post_1[[#This Row],[Campaign_Name]],TBL_Campaign_Data_1[Campaign_Name],TBL_Campaign_Data_1[End_Date])</f>
        <v>45698</v>
      </c>
    </row>
    <row r="252" spans="1:19">
      <c r="A252" t="s">
        <v>354</v>
      </c>
      <c r="B252" t="s">
        <v>40</v>
      </c>
      <c r="C252" s="22">
        <v>45608</v>
      </c>
      <c r="D252" t="s">
        <v>22</v>
      </c>
      <c r="E252" t="s">
        <v>23</v>
      </c>
      <c r="F252">
        <v>2418</v>
      </c>
      <c r="G252">
        <v>754</v>
      </c>
      <c r="H252">
        <v>54</v>
      </c>
      <c r="I252">
        <v>43524</v>
      </c>
      <c r="J252">
        <v>42743</v>
      </c>
      <c r="K252">
        <v>182</v>
      </c>
      <c r="L252" t="s">
        <v>55</v>
      </c>
      <c r="M252" s="21">
        <v>7.4120025732929001E-2</v>
      </c>
      <c r="N252" s="21">
        <v>4.1816009557944997E-3</v>
      </c>
      <c r="O252">
        <v>3226</v>
      </c>
      <c r="P252" t="s">
        <v>44</v>
      </c>
      <c r="Q25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52" s="22">
        <f>_xlfn.XLOOKUP(TBL_Post_1[[#This Row],[Campaign_Name]],TBL_Campaign_Data_1[Campaign_Name],TBL_Campaign_Data_1[Start_Date])</f>
        <v>45667</v>
      </c>
      <c r="S252" s="22">
        <f>_xlfn.XLOOKUP(TBL_Post_1[[#This Row],[Campaign_Name]],TBL_Campaign_Data_1[Campaign_Name],TBL_Campaign_Data_1[End_Date])</f>
        <v>45698</v>
      </c>
    </row>
    <row r="253" spans="1:19">
      <c r="A253" t="s">
        <v>356</v>
      </c>
      <c r="B253" t="s">
        <v>27</v>
      </c>
      <c r="C253" s="22">
        <v>45629</v>
      </c>
      <c r="D253" t="s">
        <v>69</v>
      </c>
      <c r="E253" t="s">
        <v>70</v>
      </c>
      <c r="F253">
        <v>3809</v>
      </c>
      <c r="G253">
        <v>273</v>
      </c>
      <c r="H253">
        <v>200</v>
      </c>
      <c r="I253">
        <v>34281</v>
      </c>
      <c r="J253">
        <v>33534</v>
      </c>
      <c r="K253">
        <v>83</v>
      </c>
      <c r="L253" t="s">
        <v>38</v>
      </c>
      <c r="M253" s="21">
        <v>0.12490884163239099</v>
      </c>
      <c r="N253" s="21">
        <v>2.4211662436918399E-3</v>
      </c>
      <c r="O253">
        <v>4282</v>
      </c>
      <c r="P253" t="s">
        <v>44</v>
      </c>
      <c r="Q25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53" s="22">
        <f>_xlfn.XLOOKUP(TBL_Post_1[[#This Row],[Campaign_Name]],TBL_Campaign_Data_1[Campaign_Name],TBL_Campaign_Data_1[Start_Date])</f>
        <v>45570</v>
      </c>
      <c r="S253" s="22">
        <f>_xlfn.XLOOKUP(TBL_Post_1[[#This Row],[Campaign_Name]],TBL_Campaign_Data_1[Campaign_Name],TBL_Campaign_Data_1[End_Date])</f>
        <v>45601</v>
      </c>
    </row>
    <row r="254" spans="1:19">
      <c r="A254" t="s">
        <v>358</v>
      </c>
      <c r="B254" t="s">
        <v>14</v>
      </c>
      <c r="C254" s="22">
        <v>45775</v>
      </c>
      <c r="D254" t="s">
        <v>22</v>
      </c>
      <c r="E254" t="s">
        <v>23</v>
      </c>
      <c r="F254">
        <v>3577</v>
      </c>
      <c r="G254">
        <v>596</v>
      </c>
      <c r="H254">
        <v>493</v>
      </c>
      <c r="I254">
        <v>67963</v>
      </c>
      <c r="J254">
        <v>67839</v>
      </c>
      <c r="K254">
        <v>53</v>
      </c>
      <c r="L254" t="s">
        <v>55</v>
      </c>
      <c r="M254" s="21">
        <v>6.8655003457763805E-2</v>
      </c>
      <c r="N254" s="21">
        <v>7.7983608728278604E-4</v>
      </c>
      <c r="O254">
        <v>4666</v>
      </c>
      <c r="P254" t="s">
        <v>58</v>
      </c>
      <c r="Q25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54" s="22">
        <f>_xlfn.XLOOKUP(TBL_Post_1[[#This Row],[Campaign_Name]],TBL_Campaign_Data_1[Campaign_Name],TBL_Campaign_Data_1[Start_Date])</f>
        <v>45667</v>
      </c>
      <c r="S254" s="22">
        <f>_xlfn.XLOOKUP(TBL_Post_1[[#This Row],[Campaign_Name]],TBL_Campaign_Data_1[Campaign_Name],TBL_Campaign_Data_1[End_Date])</f>
        <v>45698</v>
      </c>
    </row>
    <row r="255" spans="1:19">
      <c r="A255" t="s">
        <v>358</v>
      </c>
      <c r="B255" t="s">
        <v>14</v>
      </c>
      <c r="C255" s="22">
        <v>45775</v>
      </c>
      <c r="D255" t="s">
        <v>22</v>
      </c>
      <c r="E255" t="s">
        <v>23</v>
      </c>
      <c r="F255">
        <v>3577</v>
      </c>
      <c r="G255">
        <v>596</v>
      </c>
      <c r="H255">
        <v>493</v>
      </c>
      <c r="I255">
        <v>67963</v>
      </c>
      <c r="J255">
        <v>67839</v>
      </c>
      <c r="K255">
        <v>53</v>
      </c>
      <c r="L255" t="s">
        <v>55</v>
      </c>
      <c r="M255" s="21">
        <v>6.8655003457763805E-2</v>
      </c>
      <c r="N255" s="21">
        <v>7.7983608728278604E-4</v>
      </c>
      <c r="O255">
        <v>4666</v>
      </c>
      <c r="P255" t="s">
        <v>44</v>
      </c>
      <c r="Q25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55" s="22">
        <f>_xlfn.XLOOKUP(TBL_Post_1[[#This Row],[Campaign_Name]],TBL_Campaign_Data_1[Campaign_Name],TBL_Campaign_Data_1[Start_Date])</f>
        <v>45667</v>
      </c>
      <c r="S255" s="22">
        <f>_xlfn.XLOOKUP(TBL_Post_1[[#This Row],[Campaign_Name]],TBL_Campaign_Data_1[Campaign_Name],TBL_Campaign_Data_1[End_Date])</f>
        <v>45698</v>
      </c>
    </row>
    <row r="256" spans="1:19">
      <c r="A256" t="s">
        <v>360</v>
      </c>
      <c r="B256" t="s">
        <v>27</v>
      </c>
      <c r="C256" s="22">
        <v>45657</v>
      </c>
      <c r="D256" t="s">
        <v>69</v>
      </c>
      <c r="E256" t="s">
        <v>70</v>
      </c>
      <c r="F256">
        <v>1018</v>
      </c>
      <c r="G256">
        <v>447</v>
      </c>
      <c r="H256">
        <v>332</v>
      </c>
      <c r="I256">
        <v>18324</v>
      </c>
      <c r="J256">
        <v>18164</v>
      </c>
      <c r="K256">
        <v>38</v>
      </c>
      <c r="L256" t="s">
        <v>55</v>
      </c>
      <c r="M256" s="21">
        <v>9.8068107400130999E-2</v>
      </c>
      <c r="N256" s="21">
        <v>2.0737830168085598E-3</v>
      </c>
      <c r="O256">
        <v>1797</v>
      </c>
      <c r="P256" t="s">
        <v>18</v>
      </c>
      <c r="Q25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256" s="22">
        <f>_xlfn.XLOOKUP(TBL_Post_1[[#This Row],[Campaign_Name]],TBL_Campaign_Data_1[Campaign_Name],TBL_Campaign_Data_1[Start_Date])</f>
        <v>45667</v>
      </c>
      <c r="S256" s="22">
        <f>_xlfn.XLOOKUP(TBL_Post_1[[#This Row],[Campaign_Name]],TBL_Campaign_Data_1[Campaign_Name],TBL_Campaign_Data_1[End_Date])</f>
        <v>45698</v>
      </c>
    </row>
    <row r="257" spans="1:19">
      <c r="A257" t="s">
        <v>360</v>
      </c>
      <c r="B257" t="s">
        <v>27</v>
      </c>
      <c r="C257" s="22">
        <v>45657</v>
      </c>
      <c r="D257" t="s">
        <v>69</v>
      </c>
      <c r="E257" t="s">
        <v>70</v>
      </c>
      <c r="F257">
        <v>1018</v>
      </c>
      <c r="G257">
        <v>447</v>
      </c>
      <c r="H257">
        <v>332</v>
      </c>
      <c r="I257">
        <v>18324</v>
      </c>
      <c r="J257">
        <v>18164</v>
      </c>
      <c r="K257">
        <v>38</v>
      </c>
      <c r="L257" t="s">
        <v>55</v>
      </c>
      <c r="M257" s="21">
        <v>9.8068107400130999E-2</v>
      </c>
      <c r="N257" s="21">
        <v>2.0737830168085598E-3</v>
      </c>
      <c r="O257">
        <v>1797</v>
      </c>
      <c r="P257" t="s">
        <v>24</v>
      </c>
      <c r="Q25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257" s="22">
        <f>_xlfn.XLOOKUP(TBL_Post_1[[#This Row],[Campaign_Name]],TBL_Campaign_Data_1[Campaign_Name],TBL_Campaign_Data_1[Start_Date])</f>
        <v>45667</v>
      </c>
      <c r="S257" s="22">
        <f>_xlfn.XLOOKUP(TBL_Post_1[[#This Row],[Campaign_Name]],TBL_Campaign_Data_1[Campaign_Name],TBL_Campaign_Data_1[End_Date])</f>
        <v>45698</v>
      </c>
    </row>
    <row r="258" spans="1:19">
      <c r="A258" t="s">
        <v>362</v>
      </c>
      <c r="B258" t="s">
        <v>40</v>
      </c>
      <c r="C258" s="22">
        <v>45518</v>
      </c>
      <c r="D258" t="s">
        <v>42</v>
      </c>
      <c r="E258" t="s">
        <v>43</v>
      </c>
      <c r="F258">
        <v>3073</v>
      </c>
      <c r="G258">
        <v>553</v>
      </c>
      <c r="H258">
        <v>174</v>
      </c>
      <c r="I258">
        <v>52241</v>
      </c>
      <c r="J258">
        <v>51605</v>
      </c>
      <c r="K258">
        <v>246</v>
      </c>
      <c r="L258" t="s">
        <v>55</v>
      </c>
      <c r="M258" s="21">
        <v>7.2739802071170201E-2</v>
      </c>
      <c r="N258" s="21">
        <v>4.70894508144944E-3</v>
      </c>
      <c r="O258">
        <v>3800</v>
      </c>
      <c r="P258" t="s">
        <v>24</v>
      </c>
      <c r="Q25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58" s="22">
        <f>_xlfn.XLOOKUP(TBL_Post_1[[#This Row],[Campaign_Name]],TBL_Campaign_Data_1[Campaign_Name],TBL_Campaign_Data_1[Start_Date])</f>
        <v>45667</v>
      </c>
      <c r="S258" s="22">
        <f>_xlfn.XLOOKUP(TBL_Post_1[[#This Row],[Campaign_Name]],TBL_Campaign_Data_1[Campaign_Name],TBL_Campaign_Data_1[End_Date])</f>
        <v>45698</v>
      </c>
    </row>
    <row r="259" spans="1:19">
      <c r="A259" t="s">
        <v>362</v>
      </c>
      <c r="B259" t="s">
        <v>40</v>
      </c>
      <c r="C259" s="22">
        <v>45518</v>
      </c>
      <c r="D259" t="s">
        <v>42</v>
      </c>
      <c r="E259" t="s">
        <v>43</v>
      </c>
      <c r="F259">
        <v>3073</v>
      </c>
      <c r="G259">
        <v>553</v>
      </c>
      <c r="H259">
        <v>174</v>
      </c>
      <c r="I259">
        <v>52241</v>
      </c>
      <c r="J259">
        <v>51605</v>
      </c>
      <c r="K259">
        <v>246</v>
      </c>
      <c r="L259" t="s">
        <v>55</v>
      </c>
      <c r="M259" s="21">
        <v>7.2739802071170201E-2</v>
      </c>
      <c r="N259" s="21">
        <v>4.70894508144944E-3</v>
      </c>
      <c r="O259">
        <v>3800</v>
      </c>
      <c r="P259" t="s">
        <v>58</v>
      </c>
      <c r="Q25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59" s="22">
        <f>_xlfn.XLOOKUP(TBL_Post_1[[#This Row],[Campaign_Name]],TBL_Campaign_Data_1[Campaign_Name],TBL_Campaign_Data_1[Start_Date])</f>
        <v>45667</v>
      </c>
      <c r="S259" s="22">
        <f>_xlfn.XLOOKUP(TBL_Post_1[[#This Row],[Campaign_Name]],TBL_Campaign_Data_1[Campaign_Name],TBL_Campaign_Data_1[End_Date])</f>
        <v>45698</v>
      </c>
    </row>
    <row r="260" spans="1:19">
      <c r="A260" t="s">
        <v>364</v>
      </c>
      <c r="B260" t="s">
        <v>14</v>
      </c>
      <c r="C260" s="22">
        <v>45631</v>
      </c>
      <c r="D260" t="s">
        <v>69</v>
      </c>
      <c r="E260" t="s">
        <v>70</v>
      </c>
      <c r="F260">
        <v>1330</v>
      </c>
      <c r="G260">
        <v>925</v>
      </c>
      <c r="H260">
        <v>35</v>
      </c>
      <c r="I260">
        <v>15960</v>
      </c>
      <c r="J260">
        <v>15379</v>
      </c>
      <c r="K260">
        <v>229</v>
      </c>
      <c r="L260" t="s">
        <v>55</v>
      </c>
      <c r="M260" s="21">
        <v>0.14348370927318299</v>
      </c>
      <c r="N260" s="21">
        <v>1.4348370927318299E-2</v>
      </c>
      <c r="O260">
        <v>2290</v>
      </c>
      <c r="P260" t="s">
        <v>77</v>
      </c>
      <c r="Q26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60" s="22">
        <f>_xlfn.XLOOKUP(TBL_Post_1[[#This Row],[Campaign_Name]],TBL_Campaign_Data_1[Campaign_Name],TBL_Campaign_Data_1[Start_Date])</f>
        <v>45667</v>
      </c>
      <c r="S260" s="22">
        <f>_xlfn.XLOOKUP(TBL_Post_1[[#This Row],[Campaign_Name]],TBL_Campaign_Data_1[Campaign_Name],TBL_Campaign_Data_1[End_Date])</f>
        <v>45698</v>
      </c>
    </row>
    <row r="261" spans="1:19">
      <c r="A261" t="s">
        <v>364</v>
      </c>
      <c r="B261" t="s">
        <v>14</v>
      </c>
      <c r="C261" s="22">
        <v>45631</v>
      </c>
      <c r="D261" t="s">
        <v>69</v>
      </c>
      <c r="E261" t="s">
        <v>70</v>
      </c>
      <c r="F261">
        <v>1330</v>
      </c>
      <c r="G261">
        <v>925</v>
      </c>
      <c r="H261">
        <v>35</v>
      </c>
      <c r="I261">
        <v>15960</v>
      </c>
      <c r="J261">
        <v>15379</v>
      </c>
      <c r="K261">
        <v>229</v>
      </c>
      <c r="L261" t="s">
        <v>55</v>
      </c>
      <c r="M261" s="21">
        <v>0.14348370927318299</v>
      </c>
      <c r="N261" s="21">
        <v>1.4348370927318299E-2</v>
      </c>
      <c r="O261">
        <v>2290</v>
      </c>
      <c r="P261" t="s">
        <v>44</v>
      </c>
      <c r="Q26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61" s="22">
        <f>_xlfn.XLOOKUP(TBL_Post_1[[#This Row],[Campaign_Name]],TBL_Campaign_Data_1[Campaign_Name],TBL_Campaign_Data_1[Start_Date])</f>
        <v>45667</v>
      </c>
      <c r="S261" s="22">
        <f>_xlfn.XLOOKUP(TBL_Post_1[[#This Row],[Campaign_Name]],TBL_Campaign_Data_1[Campaign_Name],TBL_Campaign_Data_1[End_Date])</f>
        <v>45698</v>
      </c>
    </row>
    <row r="262" spans="1:19">
      <c r="A262" t="s">
        <v>366</v>
      </c>
      <c r="B262" t="s">
        <v>40</v>
      </c>
      <c r="C262" s="22">
        <v>45465</v>
      </c>
      <c r="D262" t="s">
        <v>22</v>
      </c>
      <c r="E262" t="s">
        <v>23</v>
      </c>
      <c r="F262">
        <v>3828</v>
      </c>
      <c r="G262">
        <v>148</v>
      </c>
      <c r="H262">
        <v>253</v>
      </c>
      <c r="I262">
        <v>30624</v>
      </c>
      <c r="J262">
        <v>30229</v>
      </c>
      <c r="K262">
        <v>235</v>
      </c>
      <c r="L262" t="s">
        <v>55</v>
      </c>
      <c r="M262" s="21">
        <v>0.13809430512016699</v>
      </c>
      <c r="N262" s="21">
        <v>7.6737199582027201E-3</v>
      </c>
      <c r="O262">
        <v>4229</v>
      </c>
      <c r="P262" t="s">
        <v>18</v>
      </c>
      <c r="Q26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62" s="22">
        <f>_xlfn.XLOOKUP(TBL_Post_1[[#This Row],[Campaign_Name]],TBL_Campaign_Data_1[Campaign_Name],TBL_Campaign_Data_1[Start_Date])</f>
        <v>45667</v>
      </c>
      <c r="S262" s="22">
        <f>_xlfn.XLOOKUP(TBL_Post_1[[#This Row],[Campaign_Name]],TBL_Campaign_Data_1[Campaign_Name],TBL_Campaign_Data_1[End_Date])</f>
        <v>45698</v>
      </c>
    </row>
    <row r="263" spans="1:19">
      <c r="A263" t="s">
        <v>366</v>
      </c>
      <c r="B263" t="s">
        <v>40</v>
      </c>
      <c r="C263" s="22">
        <v>45465</v>
      </c>
      <c r="D263" t="s">
        <v>22</v>
      </c>
      <c r="E263" t="s">
        <v>23</v>
      </c>
      <c r="F263">
        <v>3828</v>
      </c>
      <c r="G263">
        <v>148</v>
      </c>
      <c r="H263">
        <v>253</v>
      </c>
      <c r="I263">
        <v>30624</v>
      </c>
      <c r="J263">
        <v>30229</v>
      </c>
      <c r="K263">
        <v>235</v>
      </c>
      <c r="L263" t="s">
        <v>55</v>
      </c>
      <c r="M263" s="21">
        <v>0.13809430512016699</v>
      </c>
      <c r="N263" s="21">
        <v>7.6737199582027201E-3</v>
      </c>
      <c r="O263">
        <v>4229</v>
      </c>
      <c r="P263" t="s">
        <v>58</v>
      </c>
      <c r="Q26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63" s="22">
        <f>_xlfn.XLOOKUP(TBL_Post_1[[#This Row],[Campaign_Name]],TBL_Campaign_Data_1[Campaign_Name],TBL_Campaign_Data_1[Start_Date])</f>
        <v>45667</v>
      </c>
      <c r="S263" s="22">
        <f>_xlfn.XLOOKUP(TBL_Post_1[[#This Row],[Campaign_Name]],TBL_Campaign_Data_1[Campaign_Name],TBL_Campaign_Data_1[End_Date])</f>
        <v>45698</v>
      </c>
    </row>
    <row r="264" spans="1:19">
      <c r="A264" t="s">
        <v>367</v>
      </c>
      <c r="B264" t="s">
        <v>31</v>
      </c>
      <c r="C264" s="22">
        <v>45674</v>
      </c>
      <c r="D264" t="s">
        <v>16</v>
      </c>
      <c r="E264" t="s">
        <v>17</v>
      </c>
      <c r="F264">
        <v>142</v>
      </c>
      <c r="G264">
        <v>784</v>
      </c>
      <c r="H264">
        <v>183</v>
      </c>
      <c r="I264">
        <v>1704</v>
      </c>
      <c r="J264">
        <v>995</v>
      </c>
      <c r="K264">
        <v>154</v>
      </c>
      <c r="L264" t="s">
        <v>19</v>
      </c>
      <c r="M264" s="21">
        <v>0.65082159624413205</v>
      </c>
      <c r="N264" s="21">
        <v>9.0375586854460094E-2</v>
      </c>
      <c r="O264">
        <v>1109</v>
      </c>
      <c r="P264" t="s">
        <v>18</v>
      </c>
      <c r="Q26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64" s="22">
        <f>_xlfn.XLOOKUP(TBL_Post_1[[#This Row],[Campaign_Name]],TBL_Campaign_Data_1[Campaign_Name],TBL_Campaign_Data_1[Start_Date])</f>
        <v>45505</v>
      </c>
      <c r="S264" s="22">
        <f>_xlfn.XLOOKUP(TBL_Post_1[[#This Row],[Campaign_Name]],TBL_Campaign_Data_1[Campaign_Name],TBL_Campaign_Data_1[End_Date])</f>
        <v>45535</v>
      </c>
    </row>
    <row r="265" spans="1:19">
      <c r="A265" t="s">
        <v>369</v>
      </c>
      <c r="B265" t="s">
        <v>40</v>
      </c>
      <c r="C265" s="22">
        <v>45463</v>
      </c>
      <c r="D265" t="s">
        <v>69</v>
      </c>
      <c r="E265" t="s">
        <v>70</v>
      </c>
      <c r="F265">
        <v>3798</v>
      </c>
      <c r="G265">
        <v>31</v>
      </c>
      <c r="H265">
        <v>279</v>
      </c>
      <c r="I265">
        <v>75960</v>
      </c>
      <c r="J265">
        <v>75813</v>
      </c>
      <c r="K265">
        <v>266</v>
      </c>
      <c r="L265" t="s">
        <v>25</v>
      </c>
      <c r="M265" s="21">
        <v>5.4081095313322801E-2</v>
      </c>
      <c r="N265" s="21">
        <v>3.5018430753027902E-3</v>
      </c>
      <c r="O265">
        <v>4108</v>
      </c>
      <c r="P265" t="s">
        <v>24</v>
      </c>
      <c r="Q26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265" s="22">
        <f>_xlfn.XLOOKUP(TBL_Post_1[[#This Row],[Campaign_Name]],TBL_Campaign_Data_1[Campaign_Name],TBL_Campaign_Data_1[Start_Date])</f>
        <v>45453</v>
      </c>
      <c r="S265" s="22">
        <f>_xlfn.XLOOKUP(TBL_Post_1[[#This Row],[Campaign_Name]],TBL_Campaign_Data_1[Campaign_Name],TBL_Campaign_Data_1[End_Date])</f>
        <v>45478</v>
      </c>
    </row>
    <row r="266" spans="1:19">
      <c r="A266" t="s">
        <v>371</v>
      </c>
      <c r="B266" t="s">
        <v>31</v>
      </c>
      <c r="C266" s="22">
        <v>45483</v>
      </c>
      <c r="D266" t="s">
        <v>42</v>
      </c>
      <c r="E266" t="s">
        <v>43</v>
      </c>
      <c r="F266">
        <v>3099</v>
      </c>
      <c r="G266">
        <v>694</v>
      </c>
      <c r="H266">
        <v>171</v>
      </c>
      <c r="I266">
        <v>43386</v>
      </c>
      <c r="J266">
        <v>42921</v>
      </c>
      <c r="K266">
        <v>52</v>
      </c>
      <c r="L266" t="s">
        <v>55</v>
      </c>
      <c r="M266" s="21">
        <v>9.1365878393951994E-2</v>
      </c>
      <c r="N266" s="21">
        <v>1.1985433089014899E-3</v>
      </c>
      <c r="O266">
        <v>3964</v>
      </c>
      <c r="P266" t="s">
        <v>77</v>
      </c>
      <c r="Q26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66" s="22">
        <f>_xlfn.XLOOKUP(TBL_Post_1[[#This Row],[Campaign_Name]],TBL_Campaign_Data_1[Campaign_Name],TBL_Campaign_Data_1[Start_Date])</f>
        <v>45667</v>
      </c>
      <c r="S266" s="22">
        <f>_xlfn.XLOOKUP(TBL_Post_1[[#This Row],[Campaign_Name]],TBL_Campaign_Data_1[Campaign_Name],TBL_Campaign_Data_1[End_Date])</f>
        <v>45698</v>
      </c>
    </row>
    <row r="267" spans="1:19">
      <c r="A267" t="s">
        <v>373</v>
      </c>
      <c r="B267" t="s">
        <v>31</v>
      </c>
      <c r="C267" s="22">
        <v>45603</v>
      </c>
      <c r="D267" t="s">
        <v>69</v>
      </c>
      <c r="E267" t="s">
        <v>70</v>
      </c>
      <c r="F267">
        <v>129</v>
      </c>
      <c r="G267">
        <v>643</v>
      </c>
      <c r="H267">
        <v>136</v>
      </c>
      <c r="I267">
        <v>1290</v>
      </c>
      <c r="J267">
        <v>839</v>
      </c>
      <c r="K267">
        <v>238</v>
      </c>
      <c r="L267" t="s">
        <v>55</v>
      </c>
      <c r="M267" s="21">
        <v>0.70387596899224802</v>
      </c>
      <c r="N267" s="21">
        <v>0.18449612403100801</v>
      </c>
      <c r="O267">
        <v>908</v>
      </c>
      <c r="P267" t="s">
        <v>58</v>
      </c>
      <c r="Q26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67" s="22">
        <f>_xlfn.XLOOKUP(TBL_Post_1[[#This Row],[Campaign_Name]],TBL_Campaign_Data_1[Campaign_Name],TBL_Campaign_Data_1[Start_Date])</f>
        <v>45667</v>
      </c>
      <c r="S267" s="22">
        <f>_xlfn.XLOOKUP(TBL_Post_1[[#This Row],[Campaign_Name]],TBL_Campaign_Data_1[Campaign_Name],TBL_Campaign_Data_1[End_Date])</f>
        <v>45698</v>
      </c>
    </row>
    <row r="268" spans="1:19">
      <c r="A268" t="s">
        <v>373</v>
      </c>
      <c r="B268" t="s">
        <v>31</v>
      </c>
      <c r="C268" s="22">
        <v>45603</v>
      </c>
      <c r="D268" t="s">
        <v>69</v>
      </c>
      <c r="E268" t="s">
        <v>70</v>
      </c>
      <c r="F268">
        <v>129</v>
      </c>
      <c r="G268">
        <v>643</v>
      </c>
      <c r="H268">
        <v>136</v>
      </c>
      <c r="I268">
        <v>1290</v>
      </c>
      <c r="J268">
        <v>839</v>
      </c>
      <c r="K268">
        <v>238</v>
      </c>
      <c r="L268" t="s">
        <v>55</v>
      </c>
      <c r="M268" s="21">
        <v>0.70387596899224802</v>
      </c>
      <c r="N268" s="21">
        <v>0.18449612403100801</v>
      </c>
      <c r="O268">
        <v>908</v>
      </c>
      <c r="P268" t="s">
        <v>77</v>
      </c>
      <c r="Q26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68" s="22">
        <f>_xlfn.XLOOKUP(TBL_Post_1[[#This Row],[Campaign_Name]],TBL_Campaign_Data_1[Campaign_Name],TBL_Campaign_Data_1[Start_Date])</f>
        <v>45667</v>
      </c>
      <c r="S268" s="22">
        <f>_xlfn.XLOOKUP(TBL_Post_1[[#This Row],[Campaign_Name]],TBL_Campaign_Data_1[Campaign_Name],TBL_Campaign_Data_1[End_Date])</f>
        <v>45698</v>
      </c>
    </row>
    <row r="269" spans="1:19">
      <c r="A269" t="s">
        <v>374</v>
      </c>
      <c r="B269" t="s">
        <v>40</v>
      </c>
      <c r="C269" s="22">
        <v>45488</v>
      </c>
      <c r="D269" t="s">
        <v>42</v>
      </c>
      <c r="E269" t="s">
        <v>43</v>
      </c>
      <c r="F269">
        <v>3796</v>
      </c>
      <c r="G269">
        <v>667</v>
      </c>
      <c r="H269">
        <v>395</v>
      </c>
      <c r="I269">
        <v>64532</v>
      </c>
      <c r="J269">
        <v>63550</v>
      </c>
      <c r="K269">
        <v>292</v>
      </c>
      <c r="L269" t="s">
        <v>19</v>
      </c>
      <c r="M269" s="21">
        <v>7.5280481001673602E-2</v>
      </c>
      <c r="N269" s="21">
        <v>4.5248868778280599E-3</v>
      </c>
      <c r="O269">
        <v>4858</v>
      </c>
      <c r="P269" t="s">
        <v>58</v>
      </c>
      <c r="Q26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69" s="22">
        <f>_xlfn.XLOOKUP(TBL_Post_1[[#This Row],[Campaign_Name]],TBL_Campaign_Data_1[Campaign_Name],TBL_Campaign_Data_1[Start_Date])</f>
        <v>45505</v>
      </c>
      <c r="S269" s="22">
        <f>_xlfn.XLOOKUP(TBL_Post_1[[#This Row],[Campaign_Name]],TBL_Campaign_Data_1[Campaign_Name],TBL_Campaign_Data_1[End_Date])</f>
        <v>45535</v>
      </c>
    </row>
    <row r="270" spans="1:19">
      <c r="A270" t="s">
        <v>375</v>
      </c>
      <c r="B270" t="s">
        <v>27</v>
      </c>
      <c r="C270" s="22">
        <v>45629</v>
      </c>
      <c r="D270" t="s">
        <v>22</v>
      </c>
      <c r="E270" t="s">
        <v>23</v>
      </c>
      <c r="F270">
        <v>3711</v>
      </c>
      <c r="G270">
        <v>352</v>
      </c>
      <c r="H270">
        <v>290</v>
      </c>
      <c r="I270">
        <v>48243</v>
      </c>
      <c r="J270">
        <v>47579</v>
      </c>
      <c r="K270">
        <v>11</v>
      </c>
      <c r="L270" t="s">
        <v>55</v>
      </c>
      <c r="M270" s="21">
        <v>9.0230707045581698E-2</v>
      </c>
      <c r="N270" s="21">
        <v>2.2801235412391399E-4</v>
      </c>
      <c r="O270">
        <v>4353</v>
      </c>
      <c r="P270" t="s">
        <v>58</v>
      </c>
      <c r="Q27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70" s="22">
        <f>_xlfn.XLOOKUP(TBL_Post_1[[#This Row],[Campaign_Name]],TBL_Campaign_Data_1[Campaign_Name],TBL_Campaign_Data_1[Start_Date])</f>
        <v>45667</v>
      </c>
      <c r="S270" s="22">
        <f>_xlfn.XLOOKUP(TBL_Post_1[[#This Row],[Campaign_Name]],TBL_Campaign_Data_1[Campaign_Name],TBL_Campaign_Data_1[End_Date])</f>
        <v>45698</v>
      </c>
    </row>
    <row r="271" spans="1:19">
      <c r="A271" t="s">
        <v>375</v>
      </c>
      <c r="B271" t="s">
        <v>27</v>
      </c>
      <c r="C271" s="22">
        <v>45629</v>
      </c>
      <c r="D271" t="s">
        <v>22</v>
      </c>
      <c r="E271" t="s">
        <v>23</v>
      </c>
      <c r="F271">
        <v>3711</v>
      </c>
      <c r="G271">
        <v>352</v>
      </c>
      <c r="H271">
        <v>290</v>
      </c>
      <c r="I271">
        <v>48243</v>
      </c>
      <c r="J271">
        <v>47579</v>
      </c>
      <c r="K271">
        <v>11</v>
      </c>
      <c r="L271" t="s">
        <v>55</v>
      </c>
      <c r="M271" s="21">
        <v>9.0230707045581698E-2</v>
      </c>
      <c r="N271" s="21">
        <v>2.2801235412391399E-4</v>
      </c>
      <c r="O271">
        <v>4353</v>
      </c>
      <c r="P271" t="s">
        <v>77</v>
      </c>
      <c r="Q27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71" s="22">
        <f>_xlfn.XLOOKUP(TBL_Post_1[[#This Row],[Campaign_Name]],TBL_Campaign_Data_1[Campaign_Name],TBL_Campaign_Data_1[Start_Date])</f>
        <v>45667</v>
      </c>
      <c r="S271" s="22">
        <f>_xlfn.XLOOKUP(TBL_Post_1[[#This Row],[Campaign_Name]],TBL_Campaign_Data_1[Campaign_Name],TBL_Campaign_Data_1[End_Date])</f>
        <v>45698</v>
      </c>
    </row>
    <row r="272" spans="1:19">
      <c r="A272" t="s">
        <v>376</v>
      </c>
      <c r="B272" t="s">
        <v>27</v>
      </c>
      <c r="C272" s="22">
        <v>45737</v>
      </c>
      <c r="D272" t="s">
        <v>49</v>
      </c>
      <c r="E272" t="s">
        <v>50</v>
      </c>
      <c r="F272">
        <v>606</v>
      </c>
      <c r="G272">
        <v>789</v>
      </c>
      <c r="H272">
        <v>470</v>
      </c>
      <c r="I272">
        <v>7878</v>
      </c>
      <c r="J272">
        <v>7389</v>
      </c>
      <c r="K272">
        <v>239</v>
      </c>
      <c r="L272" t="s">
        <v>25</v>
      </c>
      <c r="M272" s="21">
        <v>0.236735211982737</v>
      </c>
      <c r="N272" s="21">
        <v>3.0337649149530299E-2</v>
      </c>
      <c r="O272">
        <v>1865</v>
      </c>
      <c r="P272" t="s">
        <v>18</v>
      </c>
      <c r="Q27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72" s="22">
        <f>_xlfn.XLOOKUP(TBL_Post_1[[#This Row],[Campaign_Name]],TBL_Campaign_Data_1[Campaign_Name],TBL_Campaign_Data_1[Start_Date])</f>
        <v>45453</v>
      </c>
      <c r="S272" s="22">
        <f>_xlfn.XLOOKUP(TBL_Post_1[[#This Row],[Campaign_Name]],TBL_Campaign_Data_1[Campaign_Name],TBL_Campaign_Data_1[End_Date])</f>
        <v>45478</v>
      </c>
    </row>
    <row r="273" spans="1:19">
      <c r="A273" t="s">
        <v>378</v>
      </c>
      <c r="B273" t="s">
        <v>40</v>
      </c>
      <c r="C273" s="22">
        <v>45504</v>
      </c>
      <c r="D273" t="s">
        <v>49</v>
      </c>
      <c r="E273" t="s">
        <v>50</v>
      </c>
      <c r="F273">
        <v>4689</v>
      </c>
      <c r="G273">
        <v>134</v>
      </c>
      <c r="H273">
        <v>403</v>
      </c>
      <c r="I273">
        <v>51579</v>
      </c>
      <c r="J273">
        <v>50924</v>
      </c>
      <c r="K273">
        <v>173</v>
      </c>
      <c r="L273" t="s">
        <v>19</v>
      </c>
      <c r="M273" s="21">
        <v>0.101320304775199</v>
      </c>
      <c r="N273" s="21">
        <v>3.3540782101242799E-3</v>
      </c>
      <c r="O273">
        <v>5226</v>
      </c>
      <c r="P273" t="s">
        <v>77</v>
      </c>
      <c r="Q27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273" s="22">
        <f>_xlfn.XLOOKUP(TBL_Post_1[[#This Row],[Campaign_Name]],TBL_Campaign_Data_1[Campaign_Name],TBL_Campaign_Data_1[Start_Date])</f>
        <v>45505</v>
      </c>
      <c r="S273" s="22">
        <f>_xlfn.XLOOKUP(TBL_Post_1[[#This Row],[Campaign_Name]],TBL_Campaign_Data_1[Campaign_Name],TBL_Campaign_Data_1[End_Date])</f>
        <v>45535</v>
      </c>
    </row>
    <row r="274" spans="1:19">
      <c r="A274" t="s">
        <v>379</v>
      </c>
      <c r="B274" t="s">
        <v>31</v>
      </c>
      <c r="C274" s="22">
        <v>45643</v>
      </c>
      <c r="D274" t="s">
        <v>33</v>
      </c>
      <c r="E274" t="s">
        <v>34</v>
      </c>
      <c r="F274">
        <v>360</v>
      </c>
      <c r="G274">
        <v>590</v>
      </c>
      <c r="H274">
        <v>393</v>
      </c>
      <c r="I274">
        <v>4680</v>
      </c>
      <c r="J274">
        <v>4322</v>
      </c>
      <c r="K274">
        <v>208</v>
      </c>
      <c r="L274" t="s">
        <v>25</v>
      </c>
      <c r="M274" s="21">
        <v>0.286965811965812</v>
      </c>
      <c r="N274" s="21">
        <v>4.4444444444444398E-2</v>
      </c>
      <c r="O274">
        <v>1343</v>
      </c>
      <c r="P274" t="s">
        <v>58</v>
      </c>
      <c r="Q27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74" s="22">
        <f>_xlfn.XLOOKUP(TBL_Post_1[[#This Row],[Campaign_Name]],TBL_Campaign_Data_1[Campaign_Name],TBL_Campaign_Data_1[Start_Date])</f>
        <v>45453</v>
      </c>
      <c r="S274" s="22">
        <f>_xlfn.XLOOKUP(TBL_Post_1[[#This Row],[Campaign_Name]],TBL_Campaign_Data_1[Campaign_Name],TBL_Campaign_Data_1[End_Date])</f>
        <v>45478</v>
      </c>
    </row>
    <row r="275" spans="1:19">
      <c r="A275" t="s">
        <v>379</v>
      </c>
      <c r="B275" t="s">
        <v>31</v>
      </c>
      <c r="C275" s="22">
        <v>45643</v>
      </c>
      <c r="D275" t="s">
        <v>33</v>
      </c>
      <c r="E275" t="s">
        <v>34</v>
      </c>
      <c r="F275">
        <v>360</v>
      </c>
      <c r="G275">
        <v>590</v>
      </c>
      <c r="H275">
        <v>393</v>
      </c>
      <c r="I275">
        <v>4680</v>
      </c>
      <c r="J275">
        <v>4322</v>
      </c>
      <c r="K275">
        <v>208</v>
      </c>
      <c r="L275" t="s">
        <v>25</v>
      </c>
      <c r="M275" s="21">
        <v>0.286965811965812</v>
      </c>
      <c r="N275" s="21">
        <v>4.4444444444444398E-2</v>
      </c>
      <c r="O275">
        <v>1343</v>
      </c>
      <c r="P275" t="s">
        <v>77</v>
      </c>
      <c r="Q27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75" s="22">
        <f>_xlfn.XLOOKUP(TBL_Post_1[[#This Row],[Campaign_Name]],TBL_Campaign_Data_1[Campaign_Name],TBL_Campaign_Data_1[Start_Date])</f>
        <v>45453</v>
      </c>
      <c r="S275" s="22">
        <f>_xlfn.XLOOKUP(TBL_Post_1[[#This Row],[Campaign_Name]],TBL_Campaign_Data_1[Campaign_Name],TBL_Campaign_Data_1[End_Date])</f>
        <v>45478</v>
      </c>
    </row>
    <row r="276" spans="1:19">
      <c r="A276" t="s">
        <v>381</v>
      </c>
      <c r="B276" t="s">
        <v>14</v>
      </c>
      <c r="C276" s="22">
        <v>45501</v>
      </c>
      <c r="D276" t="s">
        <v>49</v>
      </c>
      <c r="E276" t="s">
        <v>50</v>
      </c>
      <c r="F276">
        <v>3215</v>
      </c>
      <c r="G276">
        <v>960</v>
      </c>
      <c r="H276">
        <v>202</v>
      </c>
      <c r="I276">
        <v>32150</v>
      </c>
      <c r="J276">
        <v>31404</v>
      </c>
      <c r="K276">
        <v>251</v>
      </c>
      <c r="L276" t="s">
        <v>38</v>
      </c>
      <c r="M276" s="21">
        <v>0.13614307931570799</v>
      </c>
      <c r="N276" s="21">
        <v>7.8071539657853803E-3</v>
      </c>
      <c r="O276">
        <v>4377</v>
      </c>
      <c r="P276" t="s">
        <v>58</v>
      </c>
      <c r="Q27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76" s="22">
        <f>_xlfn.XLOOKUP(TBL_Post_1[[#This Row],[Campaign_Name]],TBL_Campaign_Data_1[Campaign_Name],TBL_Campaign_Data_1[Start_Date])</f>
        <v>45570</v>
      </c>
      <c r="S276" s="22">
        <f>_xlfn.XLOOKUP(TBL_Post_1[[#This Row],[Campaign_Name]],TBL_Campaign_Data_1[Campaign_Name],TBL_Campaign_Data_1[End_Date])</f>
        <v>45601</v>
      </c>
    </row>
    <row r="277" spans="1:19">
      <c r="A277" t="s">
        <v>383</v>
      </c>
      <c r="B277" t="s">
        <v>31</v>
      </c>
      <c r="C277" s="22">
        <v>45668</v>
      </c>
      <c r="D277" t="s">
        <v>42</v>
      </c>
      <c r="E277" t="s">
        <v>43</v>
      </c>
      <c r="F277">
        <v>4523</v>
      </c>
      <c r="G277">
        <v>61</v>
      </c>
      <c r="H277">
        <v>157</v>
      </c>
      <c r="I277">
        <v>49753</v>
      </c>
      <c r="J277">
        <v>49329</v>
      </c>
      <c r="K277">
        <v>71</v>
      </c>
      <c r="L277" t="s">
        <v>55</v>
      </c>
      <c r="M277" s="21">
        <v>9.5290736237010801E-2</v>
      </c>
      <c r="N277" s="21">
        <v>1.42704962514823E-3</v>
      </c>
      <c r="O277">
        <v>4741</v>
      </c>
      <c r="P277" t="s">
        <v>18</v>
      </c>
      <c r="Q27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277" s="22">
        <f>_xlfn.XLOOKUP(TBL_Post_1[[#This Row],[Campaign_Name]],TBL_Campaign_Data_1[Campaign_Name],TBL_Campaign_Data_1[Start_Date])</f>
        <v>45667</v>
      </c>
      <c r="S277" s="22">
        <f>_xlfn.XLOOKUP(TBL_Post_1[[#This Row],[Campaign_Name]],TBL_Campaign_Data_1[Campaign_Name],TBL_Campaign_Data_1[End_Date])</f>
        <v>45698</v>
      </c>
    </row>
    <row r="278" spans="1:19">
      <c r="A278" t="s">
        <v>383</v>
      </c>
      <c r="B278" t="s">
        <v>31</v>
      </c>
      <c r="C278" s="22">
        <v>45668</v>
      </c>
      <c r="D278" t="s">
        <v>42</v>
      </c>
      <c r="E278" t="s">
        <v>43</v>
      </c>
      <c r="F278">
        <v>4523</v>
      </c>
      <c r="G278">
        <v>61</v>
      </c>
      <c r="H278">
        <v>157</v>
      </c>
      <c r="I278">
        <v>49753</v>
      </c>
      <c r="J278">
        <v>49329</v>
      </c>
      <c r="K278">
        <v>71</v>
      </c>
      <c r="L278" t="s">
        <v>55</v>
      </c>
      <c r="M278" s="21">
        <v>9.5290736237010801E-2</v>
      </c>
      <c r="N278" s="21">
        <v>1.42704962514823E-3</v>
      </c>
      <c r="O278">
        <v>4741</v>
      </c>
      <c r="P278" t="s">
        <v>44</v>
      </c>
      <c r="Q27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278" s="22">
        <f>_xlfn.XLOOKUP(TBL_Post_1[[#This Row],[Campaign_Name]],TBL_Campaign_Data_1[Campaign_Name],TBL_Campaign_Data_1[Start_Date])</f>
        <v>45667</v>
      </c>
      <c r="S278" s="22">
        <f>_xlfn.XLOOKUP(TBL_Post_1[[#This Row],[Campaign_Name]],TBL_Campaign_Data_1[Campaign_Name],TBL_Campaign_Data_1[End_Date])</f>
        <v>45698</v>
      </c>
    </row>
    <row r="279" spans="1:19">
      <c r="A279" t="s">
        <v>385</v>
      </c>
      <c r="B279" t="s">
        <v>40</v>
      </c>
      <c r="C279" s="22">
        <v>45528</v>
      </c>
      <c r="D279" t="s">
        <v>42</v>
      </c>
      <c r="E279" t="s">
        <v>43</v>
      </c>
      <c r="F279">
        <v>4292</v>
      </c>
      <c r="G279">
        <v>51</v>
      </c>
      <c r="H279">
        <v>392</v>
      </c>
      <c r="I279">
        <v>55796</v>
      </c>
      <c r="J279">
        <v>54826</v>
      </c>
      <c r="K279">
        <v>264</v>
      </c>
      <c r="L279" t="s">
        <v>19</v>
      </c>
      <c r="M279" s="21">
        <v>8.4862714173059003E-2</v>
      </c>
      <c r="N279" s="21">
        <v>4.7315219729012802E-3</v>
      </c>
      <c r="O279">
        <v>4735</v>
      </c>
      <c r="P279" t="s">
        <v>44</v>
      </c>
      <c r="Q27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279" s="22">
        <f>_xlfn.XLOOKUP(TBL_Post_1[[#This Row],[Campaign_Name]],TBL_Campaign_Data_1[Campaign_Name],TBL_Campaign_Data_1[Start_Date])</f>
        <v>45505</v>
      </c>
      <c r="S279" s="22">
        <f>_xlfn.XLOOKUP(TBL_Post_1[[#This Row],[Campaign_Name]],TBL_Campaign_Data_1[Campaign_Name],TBL_Campaign_Data_1[End_Date])</f>
        <v>45535</v>
      </c>
    </row>
    <row r="280" spans="1:19">
      <c r="A280" t="s">
        <v>385</v>
      </c>
      <c r="B280" t="s">
        <v>40</v>
      </c>
      <c r="C280" s="22">
        <v>45528</v>
      </c>
      <c r="D280" t="s">
        <v>42</v>
      </c>
      <c r="E280" t="s">
        <v>43</v>
      </c>
      <c r="F280">
        <v>4292</v>
      </c>
      <c r="G280">
        <v>51</v>
      </c>
      <c r="H280">
        <v>392</v>
      </c>
      <c r="I280">
        <v>55796</v>
      </c>
      <c r="J280">
        <v>54826</v>
      </c>
      <c r="K280">
        <v>264</v>
      </c>
      <c r="L280" t="s">
        <v>19</v>
      </c>
      <c r="M280" s="21">
        <v>8.4862714173059003E-2</v>
      </c>
      <c r="N280" s="21">
        <v>4.7315219729012802E-3</v>
      </c>
      <c r="O280">
        <v>4735</v>
      </c>
      <c r="P280" t="s">
        <v>58</v>
      </c>
      <c r="Q28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280" s="22">
        <f>_xlfn.XLOOKUP(TBL_Post_1[[#This Row],[Campaign_Name]],TBL_Campaign_Data_1[Campaign_Name],TBL_Campaign_Data_1[Start_Date])</f>
        <v>45505</v>
      </c>
      <c r="S280" s="22">
        <f>_xlfn.XLOOKUP(TBL_Post_1[[#This Row],[Campaign_Name]],TBL_Campaign_Data_1[Campaign_Name],TBL_Campaign_Data_1[End_Date])</f>
        <v>45535</v>
      </c>
    </row>
    <row r="281" spans="1:19">
      <c r="A281" t="s">
        <v>386</v>
      </c>
      <c r="B281" t="s">
        <v>14</v>
      </c>
      <c r="C281" s="22">
        <v>45648</v>
      </c>
      <c r="D281" t="s">
        <v>16</v>
      </c>
      <c r="E281" t="s">
        <v>17</v>
      </c>
      <c r="F281">
        <v>1644</v>
      </c>
      <c r="G281">
        <v>546</v>
      </c>
      <c r="H281">
        <v>150</v>
      </c>
      <c r="I281">
        <v>27948</v>
      </c>
      <c r="J281">
        <v>27184</v>
      </c>
      <c r="K281">
        <v>300</v>
      </c>
      <c r="L281" t="s">
        <v>19</v>
      </c>
      <c r="M281" s="21">
        <v>8.3726921425504502E-2</v>
      </c>
      <c r="N281" s="21">
        <v>1.0734220695577499E-2</v>
      </c>
      <c r="O281">
        <v>2340</v>
      </c>
      <c r="P281" t="s">
        <v>18</v>
      </c>
      <c r="Q28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81" s="22">
        <f>_xlfn.XLOOKUP(TBL_Post_1[[#This Row],[Campaign_Name]],TBL_Campaign_Data_1[Campaign_Name],TBL_Campaign_Data_1[Start_Date])</f>
        <v>45505</v>
      </c>
      <c r="S281" s="22">
        <f>_xlfn.XLOOKUP(TBL_Post_1[[#This Row],[Campaign_Name]],TBL_Campaign_Data_1[Campaign_Name],TBL_Campaign_Data_1[End_Date])</f>
        <v>45535</v>
      </c>
    </row>
    <row r="282" spans="1:19">
      <c r="A282" t="s">
        <v>386</v>
      </c>
      <c r="B282" t="s">
        <v>14</v>
      </c>
      <c r="C282" s="22">
        <v>45648</v>
      </c>
      <c r="D282" t="s">
        <v>16</v>
      </c>
      <c r="E282" t="s">
        <v>17</v>
      </c>
      <c r="F282">
        <v>1644</v>
      </c>
      <c r="G282">
        <v>546</v>
      </c>
      <c r="H282">
        <v>150</v>
      </c>
      <c r="I282">
        <v>27948</v>
      </c>
      <c r="J282">
        <v>27184</v>
      </c>
      <c r="K282">
        <v>300</v>
      </c>
      <c r="L282" t="s">
        <v>19</v>
      </c>
      <c r="M282" s="21">
        <v>8.3726921425504502E-2</v>
      </c>
      <c r="N282" s="21">
        <v>1.0734220695577499E-2</v>
      </c>
      <c r="O282">
        <v>2340</v>
      </c>
      <c r="P282" t="s">
        <v>44</v>
      </c>
      <c r="Q28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82" s="22">
        <f>_xlfn.XLOOKUP(TBL_Post_1[[#This Row],[Campaign_Name]],TBL_Campaign_Data_1[Campaign_Name],TBL_Campaign_Data_1[Start_Date])</f>
        <v>45505</v>
      </c>
      <c r="S282" s="22">
        <f>_xlfn.XLOOKUP(TBL_Post_1[[#This Row],[Campaign_Name]],TBL_Campaign_Data_1[Campaign_Name],TBL_Campaign_Data_1[End_Date])</f>
        <v>45535</v>
      </c>
    </row>
    <row r="283" spans="1:19">
      <c r="A283" t="s">
        <v>388</v>
      </c>
      <c r="B283" t="s">
        <v>27</v>
      </c>
      <c r="C283" s="22">
        <v>45449</v>
      </c>
      <c r="D283" t="s">
        <v>16</v>
      </c>
      <c r="E283" t="s">
        <v>17</v>
      </c>
      <c r="F283">
        <v>2728</v>
      </c>
      <c r="G283">
        <v>533</v>
      </c>
      <c r="H283">
        <v>215</v>
      </c>
      <c r="I283">
        <v>40920</v>
      </c>
      <c r="J283">
        <v>40816</v>
      </c>
      <c r="K283">
        <v>137</v>
      </c>
      <c r="L283" t="s">
        <v>25</v>
      </c>
      <c r="M283" s="21">
        <v>8.4946236559139798E-2</v>
      </c>
      <c r="N283" s="21">
        <v>3.3479960899315698E-3</v>
      </c>
      <c r="O283">
        <v>3476</v>
      </c>
      <c r="P283" t="s">
        <v>18</v>
      </c>
      <c r="Q28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283" s="22">
        <f>_xlfn.XLOOKUP(TBL_Post_1[[#This Row],[Campaign_Name]],TBL_Campaign_Data_1[Campaign_Name],TBL_Campaign_Data_1[Start_Date])</f>
        <v>45453</v>
      </c>
      <c r="S283" s="22">
        <f>_xlfn.XLOOKUP(TBL_Post_1[[#This Row],[Campaign_Name]],TBL_Campaign_Data_1[Campaign_Name],TBL_Campaign_Data_1[End_Date])</f>
        <v>45478</v>
      </c>
    </row>
    <row r="284" spans="1:19">
      <c r="A284" t="s">
        <v>389</v>
      </c>
      <c r="B284" t="s">
        <v>40</v>
      </c>
      <c r="C284" s="22">
        <v>45740</v>
      </c>
      <c r="D284" t="s">
        <v>16</v>
      </c>
      <c r="E284" t="s">
        <v>17</v>
      </c>
      <c r="F284">
        <v>3360</v>
      </c>
      <c r="G284">
        <v>525</v>
      </c>
      <c r="H284">
        <v>500</v>
      </c>
      <c r="I284">
        <v>60480</v>
      </c>
      <c r="J284">
        <v>59610</v>
      </c>
      <c r="K284">
        <v>192</v>
      </c>
      <c r="L284" t="s">
        <v>19</v>
      </c>
      <c r="M284" s="21">
        <v>7.2503306878306903E-2</v>
      </c>
      <c r="N284" s="21">
        <v>3.1746031746031698E-3</v>
      </c>
      <c r="O284">
        <v>4385</v>
      </c>
      <c r="P284" t="s">
        <v>18</v>
      </c>
      <c r="Q28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84" s="22">
        <f>_xlfn.XLOOKUP(TBL_Post_1[[#This Row],[Campaign_Name]],TBL_Campaign_Data_1[Campaign_Name],TBL_Campaign_Data_1[Start_Date])</f>
        <v>45505</v>
      </c>
      <c r="S284" s="22">
        <f>_xlfn.XLOOKUP(TBL_Post_1[[#This Row],[Campaign_Name]],TBL_Campaign_Data_1[Campaign_Name],TBL_Campaign_Data_1[End_Date])</f>
        <v>45535</v>
      </c>
    </row>
    <row r="285" spans="1:19">
      <c r="A285" t="s">
        <v>389</v>
      </c>
      <c r="B285" t="s">
        <v>40</v>
      </c>
      <c r="C285" s="22">
        <v>45740</v>
      </c>
      <c r="D285" t="s">
        <v>16</v>
      </c>
      <c r="E285" t="s">
        <v>17</v>
      </c>
      <c r="F285">
        <v>3360</v>
      </c>
      <c r="G285">
        <v>525</v>
      </c>
      <c r="H285">
        <v>500</v>
      </c>
      <c r="I285">
        <v>60480</v>
      </c>
      <c r="J285">
        <v>59610</v>
      </c>
      <c r="K285">
        <v>192</v>
      </c>
      <c r="L285" t="s">
        <v>19</v>
      </c>
      <c r="M285" s="21">
        <v>7.2503306878306903E-2</v>
      </c>
      <c r="N285" s="21">
        <v>3.1746031746031698E-3</v>
      </c>
      <c r="O285">
        <v>4385</v>
      </c>
      <c r="P285" t="s">
        <v>58</v>
      </c>
      <c r="Q28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85" s="22">
        <f>_xlfn.XLOOKUP(TBL_Post_1[[#This Row],[Campaign_Name]],TBL_Campaign_Data_1[Campaign_Name],TBL_Campaign_Data_1[Start_Date])</f>
        <v>45505</v>
      </c>
      <c r="S285" s="22">
        <f>_xlfn.XLOOKUP(TBL_Post_1[[#This Row],[Campaign_Name]],TBL_Campaign_Data_1[Campaign_Name],TBL_Campaign_Data_1[End_Date])</f>
        <v>45535</v>
      </c>
    </row>
    <row r="286" spans="1:19">
      <c r="A286" t="s">
        <v>390</v>
      </c>
      <c r="B286" t="s">
        <v>27</v>
      </c>
      <c r="C286" s="22">
        <v>45569</v>
      </c>
      <c r="D286" t="s">
        <v>22</v>
      </c>
      <c r="E286" t="s">
        <v>23</v>
      </c>
      <c r="F286">
        <v>1963</v>
      </c>
      <c r="G286">
        <v>213</v>
      </c>
      <c r="H286">
        <v>19</v>
      </c>
      <c r="I286">
        <v>39260</v>
      </c>
      <c r="J286">
        <v>38771</v>
      </c>
      <c r="K286">
        <v>145</v>
      </c>
      <c r="L286" t="s">
        <v>19</v>
      </c>
      <c r="M286" s="21">
        <v>5.5909322465613899E-2</v>
      </c>
      <c r="N286" s="21">
        <v>3.69332654100866E-3</v>
      </c>
      <c r="O286">
        <v>2195</v>
      </c>
      <c r="P286" t="s">
        <v>58</v>
      </c>
      <c r="Q28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86" s="22">
        <f>_xlfn.XLOOKUP(TBL_Post_1[[#This Row],[Campaign_Name]],TBL_Campaign_Data_1[Campaign_Name],TBL_Campaign_Data_1[Start_Date])</f>
        <v>45505</v>
      </c>
      <c r="S286" s="22">
        <f>_xlfn.XLOOKUP(TBL_Post_1[[#This Row],[Campaign_Name]],TBL_Campaign_Data_1[Campaign_Name],TBL_Campaign_Data_1[End_Date])</f>
        <v>45535</v>
      </c>
    </row>
    <row r="287" spans="1:19">
      <c r="A287" t="s">
        <v>392</v>
      </c>
      <c r="B287" t="s">
        <v>27</v>
      </c>
      <c r="C287" s="22">
        <v>45629</v>
      </c>
      <c r="D287" t="s">
        <v>33</v>
      </c>
      <c r="E287" t="s">
        <v>34</v>
      </c>
      <c r="F287">
        <v>4285</v>
      </c>
      <c r="G287">
        <v>886</v>
      </c>
      <c r="H287">
        <v>376</v>
      </c>
      <c r="I287">
        <v>55705</v>
      </c>
      <c r="J287">
        <v>55556</v>
      </c>
      <c r="K287">
        <v>51</v>
      </c>
      <c r="L287" t="s">
        <v>55</v>
      </c>
      <c r="M287" s="21">
        <v>9.9578134817341402E-2</v>
      </c>
      <c r="N287" s="21">
        <v>9.1553720491876795E-4</v>
      </c>
      <c r="O287">
        <v>5547</v>
      </c>
      <c r="P287" t="s">
        <v>24</v>
      </c>
      <c r="Q28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87" s="22">
        <f>_xlfn.XLOOKUP(TBL_Post_1[[#This Row],[Campaign_Name]],TBL_Campaign_Data_1[Campaign_Name],TBL_Campaign_Data_1[Start_Date])</f>
        <v>45667</v>
      </c>
      <c r="S287" s="22">
        <f>_xlfn.XLOOKUP(TBL_Post_1[[#This Row],[Campaign_Name]],TBL_Campaign_Data_1[Campaign_Name],TBL_Campaign_Data_1[End_Date])</f>
        <v>45698</v>
      </c>
    </row>
    <row r="288" spans="1:19">
      <c r="A288" t="s">
        <v>392</v>
      </c>
      <c r="B288" t="s">
        <v>27</v>
      </c>
      <c r="C288" s="22">
        <v>45629</v>
      </c>
      <c r="D288" t="s">
        <v>33</v>
      </c>
      <c r="E288" t="s">
        <v>34</v>
      </c>
      <c r="F288">
        <v>4285</v>
      </c>
      <c r="G288">
        <v>886</v>
      </c>
      <c r="H288">
        <v>376</v>
      </c>
      <c r="I288">
        <v>55705</v>
      </c>
      <c r="J288">
        <v>55556</v>
      </c>
      <c r="K288">
        <v>51</v>
      </c>
      <c r="L288" t="s">
        <v>55</v>
      </c>
      <c r="M288" s="21">
        <v>9.9578134817341402E-2</v>
      </c>
      <c r="N288" s="21">
        <v>9.1553720491876795E-4</v>
      </c>
      <c r="O288">
        <v>5547</v>
      </c>
      <c r="P288" t="s">
        <v>77</v>
      </c>
      <c r="Q28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88" s="22">
        <f>_xlfn.XLOOKUP(TBL_Post_1[[#This Row],[Campaign_Name]],TBL_Campaign_Data_1[Campaign_Name],TBL_Campaign_Data_1[Start_Date])</f>
        <v>45667</v>
      </c>
      <c r="S288" s="22">
        <f>_xlfn.XLOOKUP(TBL_Post_1[[#This Row],[Campaign_Name]],TBL_Campaign_Data_1[Campaign_Name],TBL_Campaign_Data_1[End_Date])</f>
        <v>45698</v>
      </c>
    </row>
    <row r="289" spans="1:19">
      <c r="A289" t="s">
        <v>393</v>
      </c>
      <c r="B289" t="s">
        <v>31</v>
      </c>
      <c r="C289" s="22">
        <v>45625</v>
      </c>
      <c r="D289" t="s">
        <v>69</v>
      </c>
      <c r="E289" t="s">
        <v>70</v>
      </c>
      <c r="F289">
        <v>1176</v>
      </c>
      <c r="G289">
        <v>464</v>
      </c>
      <c r="H289">
        <v>394</v>
      </c>
      <c r="I289">
        <v>14112</v>
      </c>
      <c r="J289">
        <v>13588</v>
      </c>
      <c r="K289">
        <v>272</v>
      </c>
      <c r="L289" t="s">
        <v>19</v>
      </c>
      <c r="M289" s="21">
        <v>0.144132653061224</v>
      </c>
      <c r="N289" s="21">
        <v>1.9274376417233601E-2</v>
      </c>
      <c r="O289">
        <v>2034</v>
      </c>
      <c r="P289" t="s">
        <v>77</v>
      </c>
      <c r="Q28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89" s="22">
        <f>_xlfn.XLOOKUP(TBL_Post_1[[#This Row],[Campaign_Name]],TBL_Campaign_Data_1[Campaign_Name],TBL_Campaign_Data_1[Start_Date])</f>
        <v>45505</v>
      </c>
      <c r="S289" s="22">
        <f>_xlfn.XLOOKUP(TBL_Post_1[[#This Row],[Campaign_Name]],TBL_Campaign_Data_1[Campaign_Name],TBL_Campaign_Data_1[End_Date])</f>
        <v>45535</v>
      </c>
    </row>
    <row r="290" spans="1:19">
      <c r="A290" t="s">
        <v>395</v>
      </c>
      <c r="B290" t="s">
        <v>14</v>
      </c>
      <c r="C290" s="22">
        <v>45546</v>
      </c>
      <c r="D290" t="s">
        <v>49</v>
      </c>
      <c r="E290" t="s">
        <v>50</v>
      </c>
      <c r="F290">
        <v>4858</v>
      </c>
      <c r="G290">
        <v>317</v>
      </c>
      <c r="H290">
        <v>129</v>
      </c>
      <c r="I290">
        <v>53438</v>
      </c>
      <c r="J290">
        <v>52687</v>
      </c>
      <c r="K290">
        <v>223</v>
      </c>
      <c r="L290" t="s">
        <v>19</v>
      </c>
      <c r="M290" s="21">
        <v>9.9255211647142502E-2</v>
      </c>
      <c r="N290" s="21">
        <v>4.1730603690257901E-3</v>
      </c>
      <c r="O290">
        <v>5304</v>
      </c>
      <c r="P290" t="s">
        <v>77</v>
      </c>
      <c r="Q29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90" s="22">
        <f>_xlfn.XLOOKUP(TBL_Post_1[[#This Row],[Campaign_Name]],TBL_Campaign_Data_1[Campaign_Name],TBL_Campaign_Data_1[Start_Date])</f>
        <v>45505</v>
      </c>
      <c r="S290" s="22">
        <f>_xlfn.XLOOKUP(TBL_Post_1[[#This Row],[Campaign_Name]],TBL_Campaign_Data_1[Campaign_Name],TBL_Campaign_Data_1[End_Date])</f>
        <v>45535</v>
      </c>
    </row>
    <row r="291" spans="1:19">
      <c r="A291" t="s">
        <v>395</v>
      </c>
      <c r="B291" t="s">
        <v>14</v>
      </c>
      <c r="C291" s="22">
        <v>45546</v>
      </c>
      <c r="D291" t="s">
        <v>49</v>
      </c>
      <c r="E291" t="s">
        <v>50</v>
      </c>
      <c r="F291">
        <v>4858</v>
      </c>
      <c r="G291">
        <v>317</v>
      </c>
      <c r="H291">
        <v>129</v>
      </c>
      <c r="I291">
        <v>53438</v>
      </c>
      <c r="J291">
        <v>52687</v>
      </c>
      <c r="K291">
        <v>223</v>
      </c>
      <c r="L291" t="s">
        <v>19</v>
      </c>
      <c r="M291" s="21">
        <v>9.9255211647142502E-2</v>
      </c>
      <c r="N291" s="21">
        <v>4.1730603690257901E-3</v>
      </c>
      <c r="O291">
        <v>5304</v>
      </c>
      <c r="P291" t="s">
        <v>44</v>
      </c>
      <c r="Q29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91" s="22">
        <f>_xlfn.XLOOKUP(TBL_Post_1[[#This Row],[Campaign_Name]],TBL_Campaign_Data_1[Campaign_Name],TBL_Campaign_Data_1[Start_Date])</f>
        <v>45505</v>
      </c>
      <c r="S291" s="22">
        <f>_xlfn.XLOOKUP(TBL_Post_1[[#This Row],[Campaign_Name]],TBL_Campaign_Data_1[Campaign_Name],TBL_Campaign_Data_1[End_Date])</f>
        <v>45535</v>
      </c>
    </row>
    <row r="292" spans="1:19">
      <c r="A292" t="s">
        <v>397</v>
      </c>
      <c r="B292" t="s">
        <v>27</v>
      </c>
      <c r="C292" s="22">
        <v>45567</v>
      </c>
      <c r="D292" t="s">
        <v>33</v>
      </c>
      <c r="E292" t="s">
        <v>34</v>
      </c>
      <c r="F292">
        <v>4350</v>
      </c>
      <c r="G292">
        <v>771</v>
      </c>
      <c r="H292">
        <v>7</v>
      </c>
      <c r="I292">
        <v>60900</v>
      </c>
      <c r="J292">
        <v>60592</v>
      </c>
      <c r="K292">
        <v>195</v>
      </c>
      <c r="L292" t="s">
        <v>25</v>
      </c>
      <c r="M292" s="21">
        <v>8.4203612479474596E-2</v>
      </c>
      <c r="N292" s="21">
        <v>3.2019704433497499E-3</v>
      </c>
      <c r="O292">
        <v>5128</v>
      </c>
      <c r="P292" t="s">
        <v>77</v>
      </c>
      <c r="Q29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92" s="22">
        <f>_xlfn.XLOOKUP(TBL_Post_1[[#This Row],[Campaign_Name]],TBL_Campaign_Data_1[Campaign_Name],TBL_Campaign_Data_1[Start_Date])</f>
        <v>45453</v>
      </c>
      <c r="S292" s="22">
        <f>_xlfn.XLOOKUP(TBL_Post_1[[#This Row],[Campaign_Name]],TBL_Campaign_Data_1[Campaign_Name],TBL_Campaign_Data_1[End_Date])</f>
        <v>45478</v>
      </c>
    </row>
    <row r="293" spans="1:19">
      <c r="A293" t="s">
        <v>397</v>
      </c>
      <c r="B293" t="s">
        <v>27</v>
      </c>
      <c r="C293" s="22">
        <v>45567</v>
      </c>
      <c r="D293" t="s">
        <v>33</v>
      </c>
      <c r="E293" t="s">
        <v>34</v>
      </c>
      <c r="F293">
        <v>4350</v>
      </c>
      <c r="G293">
        <v>771</v>
      </c>
      <c r="H293">
        <v>7</v>
      </c>
      <c r="I293">
        <v>60900</v>
      </c>
      <c r="J293">
        <v>60592</v>
      </c>
      <c r="K293">
        <v>195</v>
      </c>
      <c r="L293" t="s">
        <v>25</v>
      </c>
      <c r="M293" s="21">
        <v>8.4203612479474596E-2</v>
      </c>
      <c r="N293" s="21">
        <v>3.2019704433497499E-3</v>
      </c>
      <c r="O293">
        <v>5128</v>
      </c>
      <c r="P293" t="s">
        <v>58</v>
      </c>
      <c r="Q29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93" s="22">
        <f>_xlfn.XLOOKUP(TBL_Post_1[[#This Row],[Campaign_Name]],TBL_Campaign_Data_1[Campaign_Name],TBL_Campaign_Data_1[Start_Date])</f>
        <v>45453</v>
      </c>
      <c r="S293" s="22">
        <f>_xlfn.XLOOKUP(TBL_Post_1[[#This Row],[Campaign_Name]],TBL_Campaign_Data_1[Campaign_Name],TBL_Campaign_Data_1[End_Date])</f>
        <v>45478</v>
      </c>
    </row>
    <row r="294" spans="1:19">
      <c r="A294" t="s">
        <v>398</v>
      </c>
      <c r="B294" t="s">
        <v>31</v>
      </c>
      <c r="C294" s="22">
        <v>45519</v>
      </c>
      <c r="D294" t="s">
        <v>42</v>
      </c>
      <c r="E294" t="s">
        <v>43</v>
      </c>
      <c r="F294">
        <v>914</v>
      </c>
      <c r="G294">
        <v>464</v>
      </c>
      <c r="H294">
        <v>246</v>
      </c>
      <c r="I294">
        <v>11882</v>
      </c>
      <c r="J294">
        <v>11500</v>
      </c>
      <c r="K294">
        <v>282</v>
      </c>
      <c r="L294" t="s">
        <v>38</v>
      </c>
      <c r="M294" s="21">
        <v>0.13667732704931801</v>
      </c>
      <c r="N294" s="21">
        <v>2.3733378219154999E-2</v>
      </c>
      <c r="O294">
        <v>1624</v>
      </c>
      <c r="P294" t="s">
        <v>24</v>
      </c>
      <c r="Q29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94" s="22">
        <f>_xlfn.XLOOKUP(TBL_Post_1[[#This Row],[Campaign_Name]],TBL_Campaign_Data_1[Campaign_Name],TBL_Campaign_Data_1[Start_Date])</f>
        <v>45570</v>
      </c>
      <c r="S294" s="22">
        <f>_xlfn.XLOOKUP(TBL_Post_1[[#This Row],[Campaign_Name]],TBL_Campaign_Data_1[Campaign_Name],TBL_Campaign_Data_1[End_Date])</f>
        <v>45601</v>
      </c>
    </row>
    <row r="295" spans="1:19">
      <c r="A295" t="s">
        <v>398</v>
      </c>
      <c r="B295" t="s">
        <v>31</v>
      </c>
      <c r="C295" s="22">
        <v>45519</v>
      </c>
      <c r="D295" t="s">
        <v>42</v>
      </c>
      <c r="E295" t="s">
        <v>43</v>
      </c>
      <c r="F295">
        <v>914</v>
      </c>
      <c r="G295">
        <v>464</v>
      </c>
      <c r="H295">
        <v>246</v>
      </c>
      <c r="I295">
        <v>11882</v>
      </c>
      <c r="J295">
        <v>11500</v>
      </c>
      <c r="K295">
        <v>282</v>
      </c>
      <c r="L295" t="s">
        <v>38</v>
      </c>
      <c r="M295" s="21">
        <v>0.13667732704931801</v>
      </c>
      <c r="N295" s="21">
        <v>2.3733378219154999E-2</v>
      </c>
      <c r="O295">
        <v>1624</v>
      </c>
      <c r="P295" t="s">
        <v>44</v>
      </c>
      <c r="Q29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95" s="22">
        <f>_xlfn.XLOOKUP(TBL_Post_1[[#This Row],[Campaign_Name]],TBL_Campaign_Data_1[Campaign_Name],TBL_Campaign_Data_1[Start_Date])</f>
        <v>45570</v>
      </c>
      <c r="S295" s="22">
        <f>_xlfn.XLOOKUP(TBL_Post_1[[#This Row],[Campaign_Name]],TBL_Campaign_Data_1[Campaign_Name],TBL_Campaign_Data_1[End_Date])</f>
        <v>45601</v>
      </c>
    </row>
    <row r="296" spans="1:19">
      <c r="A296" t="s">
        <v>400</v>
      </c>
      <c r="B296" t="s">
        <v>31</v>
      </c>
      <c r="C296" s="22">
        <v>45645</v>
      </c>
      <c r="D296" t="s">
        <v>22</v>
      </c>
      <c r="E296" t="s">
        <v>23</v>
      </c>
      <c r="F296">
        <v>1813</v>
      </c>
      <c r="G296">
        <v>623</v>
      </c>
      <c r="H296">
        <v>72</v>
      </c>
      <c r="I296">
        <v>19943</v>
      </c>
      <c r="J296">
        <v>18959</v>
      </c>
      <c r="K296">
        <v>85</v>
      </c>
      <c r="L296" t="s">
        <v>38</v>
      </c>
      <c r="M296" s="21">
        <v>0.12575841147269701</v>
      </c>
      <c r="N296" s="21">
        <v>4.2621471192899798E-3</v>
      </c>
      <c r="O296">
        <v>2508</v>
      </c>
      <c r="P296" t="s">
        <v>44</v>
      </c>
      <c r="Q29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96" s="22">
        <f>_xlfn.XLOOKUP(TBL_Post_1[[#This Row],[Campaign_Name]],TBL_Campaign_Data_1[Campaign_Name],TBL_Campaign_Data_1[Start_Date])</f>
        <v>45570</v>
      </c>
      <c r="S296" s="22">
        <f>_xlfn.XLOOKUP(TBL_Post_1[[#This Row],[Campaign_Name]],TBL_Campaign_Data_1[Campaign_Name],TBL_Campaign_Data_1[End_Date])</f>
        <v>45601</v>
      </c>
    </row>
    <row r="297" spans="1:19">
      <c r="A297" t="s">
        <v>400</v>
      </c>
      <c r="B297" t="s">
        <v>31</v>
      </c>
      <c r="C297" s="22">
        <v>45645</v>
      </c>
      <c r="D297" t="s">
        <v>22</v>
      </c>
      <c r="E297" t="s">
        <v>23</v>
      </c>
      <c r="F297">
        <v>1813</v>
      </c>
      <c r="G297">
        <v>623</v>
      </c>
      <c r="H297">
        <v>72</v>
      </c>
      <c r="I297">
        <v>19943</v>
      </c>
      <c r="J297">
        <v>18959</v>
      </c>
      <c r="K297">
        <v>85</v>
      </c>
      <c r="L297" t="s">
        <v>38</v>
      </c>
      <c r="M297" s="21">
        <v>0.12575841147269701</v>
      </c>
      <c r="N297" s="21">
        <v>4.2621471192899798E-3</v>
      </c>
      <c r="O297">
        <v>2508</v>
      </c>
      <c r="P297" t="s">
        <v>24</v>
      </c>
      <c r="Q29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97" s="22">
        <f>_xlfn.XLOOKUP(TBL_Post_1[[#This Row],[Campaign_Name]],TBL_Campaign_Data_1[Campaign_Name],TBL_Campaign_Data_1[Start_Date])</f>
        <v>45570</v>
      </c>
      <c r="S297" s="22">
        <f>_xlfn.XLOOKUP(TBL_Post_1[[#This Row],[Campaign_Name]],TBL_Campaign_Data_1[Campaign_Name],TBL_Campaign_Data_1[End_Date])</f>
        <v>45601</v>
      </c>
    </row>
    <row r="298" spans="1:19">
      <c r="A298" t="s">
        <v>402</v>
      </c>
      <c r="B298" t="s">
        <v>14</v>
      </c>
      <c r="C298" s="22">
        <v>45587</v>
      </c>
      <c r="D298" t="s">
        <v>16</v>
      </c>
      <c r="E298" t="s">
        <v>17</v>
      </c>
      <c r="F298">
        <v>4782</v>
      </c>
      <c r="G298">
        <v>721</v>
      </c>
      <c r="H298">
        <v>82</v>
      </c>
      <c r="I298">
        <v>86076</v>
      </c>
      <c r="J298">
        <v>85339</v>
      </c>
      <c r="K298">
        <v>19</v>
      </c>
      <c r="L298" t="s">
        <v>25</v>
      </c>
      <c r="M298" s="21">
        <v>6.4884520656164305E-2</v>
      </c>
      <c r="N298" s="21">
        <v>2.20735164273433E-4</v>
      </c>
      <c r="O298">
        <v>5585</v>
      </c>
      <c r="P298" t="s">
        <v>77</v>
      </c>
      <c r="Q29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98" s="22">
        <f>_xlfn.XLOOKUP(TBL_Post_1[[#This Row],[Campaign_Name]],TBL_Campaign_Data_1[Campaign_Name],TBL_Campaign_Data_1[Start_Date])</f>
        <v>45453</v>
      </c>
      <c r="S298" s="22">
        <f>_xlfn.XLOOKUP(TBL_Post_1[[#This Row],[Campaign_Name]],TBL_Campaign_Data_1[Campaign_Name],TBL_Campaign_Data_1[End_Date])</f>
        <v>45478</v>
      </c>
    </row>
    <row r="299" spans="1:19">
      <c r="A299" t="s">
        <v>403</v>
      </c>
      <c r="B299" t="s">
        <v>14</v>
      </c>
      <c r="C299" s="22">
        <v>45549</v>
      </c>
      <c r="D299" t="s">
        <v>49</v>
      </c>
      <c r="E299" t="s">
        <v>50</v>
      </c>
      <c r="F299">
        <v>1048</v>
      </c>
      <c r="G299">
        <v>374</v>
      </c>
      <c r="H299">
        <v>450</v>
      </c>
      <c r="I299">
        <v>9432</v>
      </c>
      <c r="J299">
        <v>8882</v>
      </c>
      <c r="K299">
        <v>158</v>
      </c>
      <c r="L299" t="s">
        <v>25</v>
      </c>
      <c r="M299" s="21">
        <v>0.19847328244274801</v>
      </c>
      <c r="N299" s="21">
        <v>1.67514843087362E-2</v>
      </c>
      <c r="O299">
        <v>1872</v>
      </c>
      <c r="P299" t="s">
        <v>44</v>
      </c>
      <c r="Q29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299" s="22">
        <f>_xlfn.XLOOKUP(TBL_Post_1[[#This Row],[Campaign_Name]],TBL_Campaign_Data_1[Campaign_Name],TBL_Campaign_Data_1[Start_Date])</f>
        <v>45453</v>
      </c>
      <c r="S299" s="22">
        <f>_xlfn.XLOOKUP(TBL_Post_1[[#This Row],[Campaign_Name]],TBL_Campaign_Data_1[Campaign_Name],TBL_Campaign_Data_1[End_Date])</f>
        <v>45478</v>
      </c>
    </row>
    <row r="300" spans="1:19">
      <c r="A300" t="s">
        <v>403</v>
      </c>
      <c r="B300" t="s">
        <v>14</v>
      </c>
      <c r="C300" s="22">
        <v>45549</v>
      </c>
      <c r="D300" t="s">
        <v>49</v>
      </c>
      <c r="E300" t="s">
        <v>50</v>
      </c>
      <c r="F300">
        <v>1048</v>
      </c>
      <c r="G300">
        <v>374</v>
      </c>
      <c r="H300">
        <v>450</v>
      </c>
      <c r="I300">
        <v>9432</v>
      </c>
      <c r="J300">
        <v>8882</v>
      </c>
      <c r="K300">
        <v>158</v>
      </c>
      <c r="L300" t="s">
        <v>25</v>
      </c>
      <c r="M300" s="21">
        <v>0.19847328244274801</v>
      </c>
      <c r="N300" s="21">
        <v>1.67514843087362E-2</v>
      </c>
      <c r="O300">
        <v>1872</v>
      </c>
      <c r="P300" t="s">
        <v>18</v>
      </c>
      <c r="Q30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00" s="22">
        <f>_xlfn.XLOOKUP(TBL_Post_1[[#This Row],[Campaign_Name]],TBL_Campaign_Data_1[Campaign_Name],TBL_Campaign_Data_1[Start_Date])</f>
        <v>45453</v>
      </c>
      <c r="S300" s="22">
        <f>_xlfn.XLOOKUP(TBL_Post_1[[#This Row],[Campaign_Name]],TBL_Campaign_Data_1[Campaign_Name],TBL_Campaign_Data_1[End_Date])</f>
        <v>45478</v>
      </c>
    </row>
    <row r="301" spans="1:19">
      <c r="A301" t="s">
        <v>405</v>
      </c>
      <c r="B301" t="s">
        <v>27</v>
      </c>
      <c r="C301" s="22">
        <v>45626</v>
      </c>
      <c r="D301" t="s">
        <v>42</v>
      </c>
      <c r="E301" t="s">
        <v>43</v>
      </c>
      <c r="F301">
        <v>2509</v>
      </c>
      <c r="G301">
        <v>324</v>
      </c>
      <c r="H301">
        <v>171</v>
      </c>
      <c r="I301">
        <v>35126</v>
      </c>
      <c r="J301">
        <v>34685</v>
      </c>
      <c r="K301">
        <v>277</v>
      </c>
      <c r="L301" t="s">
        <v>25</v>
      </c>
      <c r="M301" s="21">
        <v>8.5520696919660605E-2</v>
      </c>
      <c r="N301" s="21">
        <v>7.8858964869327596E-3</v>
      </c>
      <c r="O301">
        <v>3004</v>
      </c>
      <c r="P301" t="s">
        <v>77</v>
      </c>
      <c r="Q30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01" s="22">
        <f>_xlfn.XLOOKUP(TBL_Post_1[[#This Row],[Campaign_Name]],TBL_Campaign_Data_1[Campaign_Name],TBL_Campaign_Data_1[Start_Date])</f>
        <v>45453</v>
      </c>
      <c r="S301" s="22">
        <f>_xlfn.XLOOKUP(TBL_Post_1[[#This Row],[Campaign_Name]],TBL_Campaign_Data_1[Campaign_Name],TBL_Campaign_Data_1[End_Date])</f>
        <v>45478</v>
      </c>
    </row>
    <row r="302" spans="1:19">
      <c r="A302" t="s">
        <v>406</v>
      </c>
      <c r="B302" t="s">
        <v>40</v>
      </c>
      <c r="C302" s="22">
        <v>45754</v>
      </c>
      <c r="D302" t="s">
        <v>16</v>
      </c>
      <c r="E302" t="s">
        <v>17</v>
      </c>
      <c r="F302">
        <v>3718</v>
      </c>
      <c r="G302">
        <v>385</v>
      </c>
      <c r="H302">
        <v>310</v>
      </c>
      <c r="I302">
        <v>70642</v>
      </c>
      <c r="J302">
        <v>69749</v>
      </c>
      <c r="K302">
        <v>233</v>
      </c>
      <c r="L302" t="s">
        <v>19</v>
      </c>
      <c r="M302" s="21">
        <v>6.2469918745222397E-2</v>
      </c>
      <c r="N302" s="21">
        <v>3.2983211120862898E-3</v>
      </c>
      <c r="O302">
        <v>4413</v>
      </c>
      <c r="P302" t="s">
        <v>44</v>
      </c>
      <c r="Q30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02" s="22">
        <f>_xlfn.XLOOKUP(TBL_Post_1[[#This Row],[Campaign_Name]],TBL_Campaign_Data_1[Campaign_Name],TBL_Campaign_Data_1[Start_Date])</f>
        <v>45505</v>
      </c>
      <c r="S302" s="22">
        <f>_xlfn.XLOOKUP(TBL_Post_1[[#This Row],[Campaign_Name]],TBL_Campaign_Data_1[Campaign_Name],TBL_Campaign_Data_1[End_Date])</f>
        <v>45535</v>
      </c>
    </row>
    <row r="303" spans="1:19">
      <c r="A303" t="s">
        <v>408</v>
      </c>
      <c r="B303" t="s">
        <v>14</v>
      </c>
      <c r="C303" s="22">
        <v>45672</v>
      </c>
      <c r="D303" t="s">
        <v>16</v>
      </c>
      <c r="E303" t="s">
        <v>17</v>
      </c>
      <c r="F303">
        <v>802</v>
      </c>
      <c r="G303">
        <v>262</v>
      </c>
      <c r="H303">
        <v>244</v>
      </c>
      <c r="I303">
        <v>14436</v>
      </c>
      <c r="J303">
        <v>14280</v>
      </c>
      <c r="K303">
        <v>49</v>
      </c>
      <c r="L303" t="s">
        <v>55</v>
      </c>
      <c r="M303" s="21">
        <v>9.0606816292601797E-2</v>
      </c>
      <c r="N303" s="21">
        <v>3.3942920476586298E-3</v>
      </c>
      <c r="O303">
        <v>1308</v>
      </c>
      <c r="P303" t="s">
        <v>18</v>
      </c>
      <c r="Q30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03" s="22">
        <f>_xlfn.XLOOKUP(TBL_Post_1[[#This Row],[Campaign_Name]],TBL_Campaign_Data_1[Campaign_Name],TBL_Campaign_Data_1[Start_Date])</f>
        <v>45667</v>
      </c>
      <c r="S303" s="22">
        <f>_xlfn.XLOOKUP(TBL_Post_1[[#This Row],[Campaign_Name]],TBL_Campaign_Data_1[Campaign_Name],TBL_Campaign_Data_1[End_Date])</f>
        <v>45698</v>
      </c>
    </row>
    <row r="304" spans="1:19">
      <c r="A304" t="s">
        <v>408</v>
      </c>
      <c r="B304" t="s">
        <v>14</v>
      </c>
      <c r="C304" s="22">
        <v>45672</v>
      </c>
      <c r="D304" t="s">
        <v>16</v>
      </c>
      <c r="E304" t="s">
        <v>17</v>
      </c>
      <c r="F304">
        <v>802</v>
      </c>
      <c r="G304">
        <v>262</v>
      </c>
      <c r="H304">
        <v>244</v>
      </c>
      <c r="I304">
        <v>14436</v>
      </c>
      <c r="J304">
        <v>14280</v>
      </c>
      <c r="K304">
        <v>49</v>
      </c>
      <c r="L304" t="s">
        <v>55</v>
      </c>
      <c r="M304" s="21">
        <v>9.0606816292601797E-2</v>
      </c>
      <c r="N304" s="21">
        <v>3.3942920476586298E-3</v>
      </c>
      <c r="O304">
        <v>1308</v>
      </c>
      <c r="P304" t="s">
        <v>77</v>
      </c>
      <c r="Q30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04" s="22">
        <f>_xlfn.XLOOKUP(TBL_Post_1[[#This Row],[Campaign_Name]],TBL_Campaign_Data_1[Campaign_Name],TBL_Campaign_Data_1[Start_Date])</f>
        <v>45667</v>
      </c>
      <c r="S304" s="22">
        <f>_xlfn.XLOOKUP(TBL_Post_1[[#This Row],[Campaign_Name]],TBL_Campaign_Data_1[Campaign_Name],TBL_Campaign_Data_1[End_Date])</f>
        <v>45698</v>
      </c>
    </row>
    <row r="305" spans="1:19">
      <c r="A305" t="s">
        <v>410</v>
      </c>
      <c r="B305" t="s">
        <v>40</v>
      </c>
      <c r="C305" s="22">
        <v>45445</v>
      </c>
      <c r="D305" t="s">
        <v>49</v>
      </c>
      <c r="E305" t="s">
        <v>50</v>
      </c>
      <c r="F305">
        <v>1871</v>
      </c>
      <c r="G305">
        <v>252</v>
      </c>
      <c r="H305">
        <v>335</v>
      </c>
      <c r="I305">
        <v>29936</v>
      </c>
      <c r="J305">
        <v>29576</v>
      </c>
      <c r="K305">
        <v>288</v>
      </c>
      <c r="L305" t="s">
        <v>25</v>
      </c>
      <c r="M305" s="21">
        <v>8.2108498129342594E-2</v>
      </c>
      <c r="N305" s="21">
        <v>9.6205237840726893E-3</v>
      </c>
      <c r="O305">
        <v>2458</v>
      </c>
      <c r="P305" t="s">
        <v>44</v>
      </c>
      <c r="Q30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305" s="22">
        <f>_xlfn.XLOOKUP(TBL_Post_1[[#This Row],[Campaign_Name]],TBL_Campaign_Data_1[Campaign_Name],TBL_Campaign_Data_1[Start_Date])</f>
        <v>45453</v>
      </c>
      <c r="S305" s="22">
        <f>_xlfn.XLOOKUP(TBL_Post_1[[#This Row],[Campaign_Name]],TBL_Campaign_Data_1[Campaign_Name],TBL_Campaign_Data_1[End_Date])</f>
        <v>45478</v>
      </c>
    </row>
    <row r="306" spans="1:19">
      <c r="A306" t="s">
        <v>412</v>
      </c>
      <c r="B306" t="s">
        <v>31</v>
      </c>
      <c r="C306" s="22">
        <v>45617</v>
      </c>
      <c r="D306" t="s">
        <v>42</v>
      </c>
      <c r="E306" t="s">
        <v>43</v>
      </c>
      <c r="F306">
        <v>3773</v>
      </c>
      <c r="G306">
        <v>299</v>
      </c>
      <c r="H306">
        <v>38</v>
      </c>
      <c r="I306">
        <v>71687</v>
      </c>
      <c r="J306">
        <v>71447</v>
      </c>
      <c r="K306">
        <v>286</v>
      </c>
      <c r="L306" t="s">
        <v>55</v>
      </c>
      <c r="M306" s="21">
        <v>5.7332570758993999E-2</v>
      </c>
      <c r="N306" s="21">
        <v>3.98956575111248E-3</v>
      </c>
      <c r="O306">
        <v>4110</v>
      </c>
      <c r="P306" t="s">
        <v>44</v>
      </c>
      <c r="Q30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06" s="22">
        <f>_xlfn.XLOOKUP(TBL_Post_1[[#This Row],[Campaign_Name]],TBL_Campaign_Data_1[Campaign_Name],TBL_Campaign_Data_1[Start_Date])</f>
        <v>45667</v>
      </c>
      <c r="S306" s="22">
        <f>_xlfn.XLOOKUP(TBL_Post_1[[#This Row],[Campaign_Name]],TBL_Campaign_Data_1[Campaign_Name],TBL_Campaign_Data_1[End_Date])</f>
        <v>45698</v>
      </c>
    </row>
    <row r="307" spans="1:19">
      <c r="A307" t="s">
        <v>414</v>
      </c>
      <c r="B307" t="s">
        <v>31</v>
      </c>
      <c r="C307" s="22">
        <v>45658</v>
      </c>
      <c r="D307" t="s">
        <v>42</v>
      </c>
      <c r="E307" t="s">
        <v>43</v>
      </c>
      <c r="F307">
        <v>2234</v>
      </c>
      <c r="G307">
        <v>653</v>
      </c>
      <c r="H307">
        <v>432</v>
      </c>
      <c r="I307">
        <v>11170</v>
      </c>
      <c r="J307">
        <v>10569</v>
      </c>
      <c r="K307">
        <v>198</v>
      </c>
      <c r="L307" t="s">
        <v>55</v>
      </c>
      <c r="M307" s="21">
        <v>0.297135183527305</v>
      </c>
      <c r="N307" s="21">
        <v>1.7726051924798598E-2</v>
      </c>
      <c r="O307">
        <v>3319</v>
      </c>
      <c r="P307" t="s">
        <v>77</v>
      </c>
      <c r="Q30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307" s="22">
        <f>_xlfn.XLOOKUP(TBL_Post_1[[#This Row],[Campaign_Name]],TBL_Campaign_Data_1[Campaign_Name],TBL_Campaign_Data_1[Start_Date])</f>
        <v>45667</v>
      </c>
      <c r="S307" s="22">
        <f>_xlfn.XLOOKUP(TBL_Post_1[[#This Row],[Campaign_Name]],TBL_Campaign_Data_1[Campaign_Name],TBL_Campaign_Data_1[End_Date])</f>
        <v>45698</v>
      </c>
    </row>
    <row r="308" spans="1:19">
      <c r="A308" t="s">
        <v>414</v>
      </c>
      <c r="B308" t="s">
        <v>31</v>
      </c>
      <c r="C308" s="22">
        <v>45658</v>
      </c>
      <c r="D308" t="s">
        <v>42</v>
      </c>
      <c r="E308" t="s">
        <v>43</v>
      </c>
      <c r="F308">
        <v>2234</v>
      </c>
      <c r="G308">
        <v>653</v>
      </c>
      <c r="H308">
        <v>432</v>
      </c>
      <c r="I308">
        <v>11170</v>
      </c>
      <c r="J308">
        <v>10569</v>
      </c>
      <c r="K308">
        <v>198</v>
      </c>
      <c r="L308" t="s">
        <v>55</v>
      </c>
      <c r="M308" s="21">
        <v>0.297135183527305</v>
      </c>
      <c r="N308" s="21">
        <v>1.7726051924798598E-2</v>
      </c>
      <c r="O308">
        <v>3319</v>
      </c>
      <c r="P308" t="s">
        <v>58</v>
      </c>
      <c r="Q30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308" s="22">
        <f>_xlfn.XLOOKUP(TBL_Post_1[[#This Row],[Campaign_Name]],TBL_Campaign_Data_1[Campaign_Name],TBL_Campaign_Data_1[Start_Date])</f>
        <v>45667</v>
      </c>
      <c r="S308" s="22">
        <f>_xlfn.XLOOKUP(TBL_Post_1[[#This Row],[Campaign_Name]],TBL_Campaign_Data_1[Campaign_Name],TBL_Campaign_Data_1[End_Date])</f>
        <v>45698</v>
      </c>
    </row>
    <row r="309" spans="1:19">
      <c r="A309" t="s">
        <v>415</v>
      </c>
      <c r="B309" t="s">
        <v>14</v>
      </c>
      <c r="C309" s="22">
        <v>45771</v>
      </c>
      <c r="D309" t="s">
        <v>69</v>
      </c>
      <c r="E309" t="s">
        <v>70</v>
      </c>
      <c r="F309">
        <v>3820</v>
      </c>
      <c r="G309">
        <v>697</v>
      </c>
      <c r="H309">
        <v>268</v>
      </c>
      <c r="I309">
        <v>45840</v>
      </c>
      <c r="J309">
        <v>45631</v>
      </c>
      <c r="K309">
        <v>171</v>
      </c>
      <c r="L309" t="s">
        <v>19</v>
      </c>
      <c r="M309" s="21">
        <v>0.104384816753927</v>
      </c>
      <c r="N309" s="21">
        <v>3.7303664921466001E-3</v>
      </c>
      <c r="O309">
        <v>4785</v>
      </c>
      <c r="P309" t="s">
        <v>58</v>
      </c>
      <c r="Q30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09" s="22">
        <f>_xlfn.XLOOKUP(TBL_Post_1[[#This Row],[Campaign_Name]],TBL_Campaign_Data_1[Campaign_Name],TBL_Campaign_Data_1[Start_Date])</f>
        <v>45505</v>
      </c>
      <c r="S309" s="22">
        <f>_xlfn.XLOOKUP(TBL_Post_1[[#This Row],[Campaign_Name]],TBL_Campaign_Data_1[Campaign_Name],TBL_Campaign_Data_1[End_Date])</f>
        <v>45535</v>
      </c>
    </row>
    <row r="310" spans="1:19">
      <c r="A310" t="s">
        <v>415</v>
      </c>
      <c r="B310" t="s">
        <v>14</v>
      </c>
      <c r="C310" s="22">
        <v>45771</v>
      </c>
      <c r="D310" t="s">
        <v>69</v>
      </c>
      <c r="E310" t="s">
        <v>70</v>
      </c>
      <c r="F310">
        <v>3820</v>
      </c>
      <c r="G310">
        <v>697</v>
      </c>
      <c r="H310">
        <v>268</v>
      </c>
      <c r="I310">
        <v>45840</v>
      </c>
      <c r="J310">
        <v>45631</v>
      </c>
      <c r="K310">
        <v>171</v>
      </c>
      <c r="L310" t="s">
        <v>19</v>
      </c>
      <c r="M310" s="21">
        <v>0.104384816753927</v>
      </c>
      <c r="N310" s="21">
        <v>3.7303664921466001E-3</v>
      </c>
      <c r="O310">
        <v>4785</v>
      </c>
      <c r="P310" t="s">
        <v>77</v>
      </c>
      <c r="Q31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10" s="22">
        <f>_xlfn.XLOOKUP(TBL_Post_1[[#This Row],[Campaign_Name]],TBL_Campaign_Data_1[Campaign_Name],TBL_Campaign_Data_1[Start_Date])</f>
        <v>45505</v>
      </c>
      <c r="S310" s="22">
        <f>_xlfn.XLOOKUP(TBL_Post_1[[#This Row],[Campaign_Name]],TBL_Campaign_Data_1[Campaign_Name],TBL_Campaign_Data_1[End_Date])</f>
        <v>45535</v>
      </c>
    </row>
    <row r="311" spans="1:19">
      <c r="A311" t="s">
        <v>416</v>
      </c>
      <c r="B311" t="s">
        <v>14</v>
      </c>
      <c r="C311" s="22">
        <v>45467</v>
      </c>
      <c r="D311" t="s">
        <v>22</v>
      </c>
      <c r="E311" t="s">
        <v>23</v>
      </c>
      <c r="F311">
        <v>941</v>
      </c>
      <c r="G311">
        <v>121</v>
      </c>
      <c r="H311">
        <v>458</v>
      </c>
      <c r="I311">
        <v>14115</v>
      </c>
      <c r="J311">
        <v>13838</v>
      </c>
      <c r="K311">
        <v>87</v>
      </c>
      <c r="L311" t="s">
        <v>25</v>
      </c>
      <c r="M311" s="21">
        <v>0.10768685795253299</v>
      </c>
      <c r="N311" s="21">
        <v>6.1636556854410196E-3</v>
      </c>
      <c r="O311">
        <v>1520</v>
      </c>
      <c r="P311" t="s">
        <v>24</v>
      </c>
      <c r="Q31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11" s="22">
        <f>_xlfn.XLOOKUP(TBL_Post_1[[#This Row],[Campaign_Name]],TBL_Campaign_Data_1[Campaign_Name],TBL_Campaign_Data_1[Start_Date])</f>
        <v>45453</v>
      </c>
      <c r="S311" s="22">
        <f>_xlfn.XLOOKUP(TBL_Post_1[[#This Row],[Campaign_Name]],TBL_Campaign_Data_1[Campaign_Name],TBL_Campaign_Data_1[End_Date])</f>
        <v>45478</v>
      </c>
    </row>
    <row r="312" spans="1:19">
      <c r="A312" t="s">
        <v>416</v>
      </c>
      <c r="B312" t="s">
        <v>14</v>
      </c>
      <c r="C312" s="22">
        <v>45467</v>
      </c>
      <c r="D312" t="s">
        <v>22</v>
      </c>
      <c r="E312" t="s">
        <v>23</v>
      </c>
      <c r="F312">
        <v>941</v>
      </c>
      <c r="G312">
        <v>121</v>
      </c>
      <c r="H312">
        <v>458</v>
      </c>
      <c r="I312">
        <v>14115</v>
      </c>
      <c r="J312">
        <v>13838</v>
      </c>
      <c r="K312">
        <v>87</v>
      </c>
      <c r="L312" t="s">
        <v>25</v>
      </c>
      <c r="M312" s="21">
        <v>0.10768685795253299</v>
      </c>
      <c r="N312" s="21">
        <v>6.1636556854410196E-3</v>
      </c>
      <c r="O312">
        <v>1520</v>
      </c>
      <c r="P312" t="s">
        <v>18</v>
      </c>
      <c r="Q31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12" s="22">
        <f>_xlfn.XLOOKUP(TBL_Post_1[[#This Row],[Campaign_Name]],TBL_Campaign_Data_1[Campaign_Name],TBL_Campaign_Data_1[Start_Date])</f>
        <v>45453</v>
      </c>
      <c r="S312" s="22">
        <f>_xlfn.XLOOKUP(TBL_Post_1[[#This Row],[Campaign_Name]],TBL_Campaign_Data_1[Campaign_Name],TBL_Campaign_Data_1[End_Date])</f>
        <v>45478</v>
      </c>
    </row>
    <row r="313" spans="1:19">
      <c r="A313" t="s">
        <v>417</v>
      </c>
      <c r="B313" t="s">
        <v>14</v>
      </c>
      <c r="C313" s="22">
        <v>45655</v>
      </c>
      <c r="D313" t="s">
        <v>42</v>
      </c>
      <c r="E313" t="s">
        <v>43</v>
      </c>
      <c r="F313">
        <v>4274</v>
      </c>
      <c r="G313">
        <v>340</v>
      </c>
      <c r="H313">
        <v>281</v>
      </c>
      <c r="I313">
        <v>34192</v>
      </c>
      <c r="J313">
        <v>33446</v>
      </c>
      <c r="K313">
        <v>129</v>
      </c>
      <c r="L313" t="s">
        <v>38</v>
      </c>
      <c r="M313" s="21">
        <v>0.14316214319139001</v>
      </c>
      <c r="N313" s="21">
        <v>3.7728123537669601E-3</v>
      </c>
      <c r="O313">
        <v>4895</v>
      </c>
      <c r="P313" t="s">
        <v>58</v>
      </c>
      <c r="Q31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13" s="22">
        <f>_xlfn.XLOOKUP(TBL_Post_1[[#This Row],[Campaign_Name]],TBL_Campaign_Data_1[Campaign_Name],TBL_Campaign_Data_1[Start_Date])</f>
        <v>45570</v>
      </c>
      <c r="S313" s="22">
        <f>_xlfn.XLOOKUP(TBL_Post_1[[#This Row],[Campaign_Name]],TBL_Campaign_Data_1[Campaign_Name],TBL_Campaign_Data_1[End_Date])</f>
        <v>45601</v>
      </c>
    </row>
    <row r="314" spans="1:19">
      <c r="A314" t="s">
        <v>417</v>
      </c>
      <c r="B314" t="s">
        <v>14</v>
      </c>
      <c r="C314" s="22">
        <v>45655</v>
      </c>
      <c r="D314" t="s">
        <v>42</v>
      </c>
      <c r="E314" t="s">
        <v>43</v>
      </c>
      <c r="F314">
        <v>4274</v>
      </c>
      <c r="G314">
        <v>340</v>
      </c>
      <c r="H314">
        <v>281</v>
      </c>
      <c r="I314">
        <v>34192</v>
      </c>
      <c r="J314">
        <v>33446</v>
      </c>
      <c r="K314">
        <v>129</v>
      </c>
      <c r="L314" t="s">
        <v>38</v>
      </c>
      <c r="M314" s="21">
        <v>0.14316214319139001</v>
      </c>
      <c r="N314" s="21">
        <v>3.7728123537669601E-3</v>
      </c>
      <c r="O314">
        <v>4895</v>
      </c>
      <c r="P314" t="s">
        <v>77</v>
      </c>
      <c r="Q31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14" s="22">
        <f>_xlfn.XLOOKUP(TBL_Post_1[[#This Row],[Campaign_Name]],TBL_Campaign_Data_1[Campaign_Name],TBL_Campaign_Data_1[Start_Date])</f>
        <v>45570</v>
      </c>
      <c r="S314" s="22">
        <f>_xlfn.XLOOKUP(TBL_Post_1[[#This Row],[Campaign_Name]],TBL_Campaign_Data_1[Campaign_Name],TBL_Campaign_Data_1[End_Date])</f>
        <v>45601</v>
      </c>
    </row>
    <row r="315" spans="1:19">
      <c r="A315" t="s">
        <v>419</v>
      </c>
      <c r="B315" t="s">
        <v>27</v>
      </c>
      <c r="C315" s="22">
        <v>45467</v>
      </c>
      <c r="D315" t="s">
        <v>69</v>
      </c>
      <c r="E315" t="s">
        <v>70</v>
      </c>
      <c r="F315">
        <v>2949</v>
      </c>
      <c r="G315">
        <v>476</v>
      </c>
      <c r="H315">
        <v>403</v>
      </c>
      <c r="I315">
        <v>44235</v>
      </c>
      <c r="J315">
        <v>43705</v>
      </c>
      <c r="K315">
        <v>135</v>
      </c>
      <c r="L315" t="s">
        <v>19</v>
      </c>
      <c r="M315" s="21">
        <v>8.6537809426924406E-2</v>
      </c>
      <c r="N315" s="21">
        <v>3.0518819938962398E-3</v>
      </c>
      <c r="O315">
        <v>3828</v>
      </c>
      <c r="P315" t="s">
        <v>44</v>
      </c>
      <c r="Q31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15" s="22">
        <f>_xlfn.XLOOKUP(TBL_Post_1[[#This Row],[Campaign_Name]],TBL_Campaign_Data_1[Campaign_Name],TBL_Campaign_Data_1[Start_Date])</f>
        <v>45505</v>
      </c>
      <c r="S315" s="22">
        <f>_xlfn.XLOOKUP(TBL_Post_1[[#This Row],[Campaign_Name]],TBL_Campaign_Data_1[Campaign_Name],TBL_Campaign_Data_1[End_Date])</f>
        <v>45535</v>
      </c>
    </row>
    <row r="316" spans="1:19">
      <c r="A316" t="s">
        <v>419</v>
      </c>
      <c r="B316" t="s">
        <v>27</v>
      </c>
      <c r="C316" s="22">
        <v>45467</v>
      </c>
      <c r="D316" t="s">
        <v>69</v>
      </c>
      <c r="E316" t="s">
        <v>70</v>
      </c>
      <c r="F316">
        <v>2949</v>
      </c>
      <c r="G316">
        <v>476</v>
      </c>
      <c r="H316">
        <v>403</v>
      </c>
      <c r="I316">
        <v>44235</v>
      </c>
      <c r="J316">
        <v>43705</v>
      </c>
      <c r="K316">
        <v>135</v>
      </c>
      <c r="L316" t="s">
        <v>19</v>
      </c>
      <c r="M316" s="21">
        <v>8.6537809426924406E-2</v>
      </c>
      <c r="N316" s="21">
        <v>3.0518819938962398E-3</v>
      </c>
      <c r="O316">
        <v>3828</v>
      </c>
      <c r="P316" t="s">
        <v>77</v>
      </c>
      <c r="Q31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16" s="22">
        <f>_xlfn.XLOOKUP(TBL_Post_1[[#This Row],[Campaign_Name]],TBL_Campaign_Data_1[Campaign_Name],TBL_Campaign_Data_1[Start_Date])</f>
        <v>45505</v>
      </c>
      <c r="S316" s="22">
        <f>_xlfn.XLOOKUP(TBL_Post_1[[#This Row],[Campaign_Name]],TBL_Campaign_Data_1[Campaign_Name],TBL_Campaign_Data_1[End_Date])</f>
        <v>45535</v>
      </c>
    </row>
    <row r="317" spans="1:19">
      <c r="A317" t="s">
        <v>420</v>
      </c>
      <c r="B317" t="s">
        <v>14</v>
      </c>
      <c r="C317" s="22">
        <v>45735</v>
      </c>
      <c r="D317" t="s">
        <v>69</v>
      </c>
      <c r="E317" t="s">
        <v>70</v>
      </c>
      <c r="F317">
        <v>3160</v>
      </c>
      <c r="G317">
        <v>204</v>
      </c>
      <c r="H317">
        <v>297</v>
      </c>
      <c r="I317">
        <v>44240</v>
      </c>
      <c r="J317">
        <v>43666</v>
      </c>
      <c r="K317">
        <v>49</v>
      </c>
      <c r="L317" t="s">
        <v>19</v>
      </c>
      <c r="M317" s="21">
        <v>8.2753164556961994E-2</v>
      </c>
      <c r="N317" s="21">
        <v>1.1075949367088599E-3</v>
      </c>
      <c r="O317">
        <v>3661</v>
      </c>
      <c r="P317" t="s">
        <v>58</v>
      </c>
      <c r="Q31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17" s="22">
        <f>_xlfn.XLOOKUP(TBL_Post_1[[#This Row],[Campaign_Name]],TBL_Campaign_Data_1[Campaign_Name],TBL_Campaign_Data_1[Start_Date])</f>
        <v>45505</v>
      </c>
      <c r="S317" s="22">
        <f>_xlfn.XLOOKUP(TBL_Post_1[[#This Row],[Campaign_Name]],TBL_Campaign_Data_1[Campaign_Name],TBL_Campaign_Data_1[End_Date])</f>
        <v>45535</v>
      </c>
    </row>
    <row r="318" spans="1:19">
      <c r="A318" t="s">
        <v>420</v>
      </c>
      <c r="B318" t="s">
        <v>14</v>
      </c>
      <c r="C318" s="22">
        <v>45735</v>
      </c>
      <c r="D318" t="s">
        <v>69</v>
      </c>
      <c r="E318" t="s">
        <v>70</v>
      </c>
      <c r="F318">
        <v>3160</v>
      </c>
      <c r="G318">
        <v>204</v>
      </c>
      <c r="H318">
        <v>297</v>
      </c>
      <c r="I318">
        <v>44240</v>
      </c>
      <c r="J318">
        <v>43666</v>
      </c>
      <c r="K318">
        <v>49</v>
      </c>
      <c r="L318" t="s">
        <v>19</v>
      </c>
      <c r="M318" s="21">
        <v>8.2753164556961994E-2</v>
      </c>
      <c r="N318" s="21">
        <v>1.1075949367088599E-3</v>
      </c>
      <c r="O318">
        <v>3661</v>
      </c>
      <c r="P318" t="s">
        <v>44</v>
      </c>
      <c r="Q31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18" s="22">
        <f>_xlfn.XLOOKUP(TBL_Post_1[[#This Row],[Campaign_Name]],TBL_Campaign_Data_1[Campaign_Name],TBL_Campaign_Data_1[Start_Date])</f>
        <v>45505</v>
      </c>
      <c r="S318" s="22">
        <f>_xlfn.XLOOKUP(TBL_Post_1[[#This Row],[Campaign_Name]],TBL_Campaign_Data_1[Campaign_Name],TBL_Campaign_Data_1[End_Date])</f>
        <v>45535</v>
      </c>
    </row>
    <row r="319" spans="1:19">
      <c r="A319" t="s">
        <v>422</v>
      </c>
      <c r="B319" t="s">
        <v>27</v>
      </c>
      <c r="C319" s="22">
        <v>45707</v>
      </c>
      <c r="D319" t="s">
        <v>49</v>
      </c>
      <c r="E319" t="s">
        <v>50</v>
      </c>
      <c r="F319">
        <v>257</v>
      </c>
      <c r="G319">
        <v>966</v>
      </c>
      <c r="H319">
        <v>398</v>
      </c>
      <c r="I319">
        <v>3341</v>
      </c>
      <c r="J319">
        <v>2753</v>
      </c>
      <c r="K319">
        <v>287</v>
      </c>
      <c r="L319" t="s">
        <v>19</v>
      </c>
      <c r="M319" s="21">
        <v>0.485184076623765</v>
      </c>
      <c r="N319" s="21">
        <v>8.5902424423825202E-2</v>
      </c>
      <c r="O319">
        <v>1621</v>
      </c>
      <c r="P319" t="s">
        <v>44</v>
      </c>
      <c r="Q31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19" s="22">
        <f>_xlfn.XLOOKUP(TBL_Post_1[[#This Row],[Campaign_Name]],TBL_Campaign_Data_1[Campaign_Name],TBL_Campaign_Data_1[Start_Date])</f>
        <v>45505</v>
      </c>
      <c r="S319" s="22">
        <f>_xlfn.XLOOKUP(TBL_Post_1[[#This Row],[Campaign_Name]],TBL_Campaign_Data_1[Campaign_Name],TBL_Campaign_Data_1[End_Date])</f>
        <v>45535</v>
      </c>
    </row>
    <row r="320" spans="1:19">
      <c r="A320" t="s">
        <v>422</v>
      </c>
      <c r="B320" t="s">
        <v>27</v>
      </c>
      <c r="C320" s="22">
        <v>45707</v>
      </c>
      <c r="D320" t="s">
        <v>49</v>
      </c>
      <c r="E320" t="s">
        <v>50</v>
      </c>
      <c r="F320">
        <v>257</v>
      </c>
      <c r="G320">
        <v>966</v>
      </c>
      <c r="H320">
        <v>398</v>
      </c>
      <c r="I320">
        <v>3341</v>
      </c>
      <c r="J320">
        <v>2753</v>
      </c>
      <c r="K320">
        <v>287</v>
      </c>
      <c r="L320" t="s">
        <v>19</v>
      </c>
      <c r="M320" s="21">
        <v>0.485184076623765</v>
      </c>
      <c r="N320" s="21">
        <v>8.5902424423825202E-2</v>
      </c>
      <c r="O320">
        <v>1621</v>
      </c>
      <c r="P320" t="s">
        <v>18</v>
      </c>
      <c r="Q32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20" s="22">
        <f>_xlfn.XLOOKUP(TBL_Post_1[[#This Row],[Campaign_Name]],TBL_Campaign_Data_1[Campaign_Name],TBL_Campaign_Data_1[Start_Date])</f>
        <v>45505</v>
      </c>
      <c r="S320" s="22">
        <f>_xlfn.XLOOKUP(TBL_Post_1[[#This Row],[Campaign_Name]],TBL_Campaign_Data_1[Campaign_Name],TBL_Campaign_Data_1[End_Date])</f>
        <v>45535</v>
      </c>
    </row>
    <row r="321" spans="1:19">
      <c r="A321" t="s">
        <v>423</v>
      </c>
      <c r="B321" t="s">
        <v>14</v>
      </c>
      <c r="C321" s="22">
        <v>45491</v>
      </c>
      <c r="D321" t="s">
        <v>42</v>
      </c>
      <c r="E321" t="s">
        <v>43</v>
      </c>
      <c r="F321">
        <v>2120</v>
      </c>
      <c r="G321">
        <v>38</v>
      </c>
      <c r="H321">
        <v>212</v>
      </c>
      <c r="I321">
        <v>12720</v>
      </c>
      <c r="J321">
        <v>12564</v>
      </c>
      <c r="K321">
        <v>21</v>
      </c>
      <c r="L321" t="s">
        <v>19</v>
      </c>
      <c r="M321" s="21">
        <v>0.18632075471698101</v>
      </c>
      <c r="N321" s="21">
        <v>1.6509433962264199E-3</v>
      </c>
      <c r="O321">
        <v>2370</v>
      </c>
      <c r="P321" t="s">
        <v>44</v>
      </c>
      <c r="Q32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321" s="22">
        <f>_xlfn.XLOOKUP(TBL_Post_1[[#This Row],[Campaign_Name]],TBL_Campaign_Data_1[Campaign_Name],TBL_Campaign_Data_1[Start_Date])</f>
        <v>45505</v>
      </c>
      <c r="S321" s="22">
        <f>_xlfn.XLOOKUP(TBL_Post_1[[#This Row],[Campaign_Name]],TBL_Campaign_Data_1[Campaign_Name],TBL_Campaign_Data_1[End_Date])</f>
        <v>45535</v>
      </c>
    </row>
    <row r="322" spans="1:19">
      <c r="A322" t="s">
        <v>423</v>
      </c>
      <c r="B322" t="s">
        <v>14</v>
      </c>
      <c r="C322" s="22">
        <v>45491</v>
      </c>
      <c r="D322" t="s">
        <v>42</v>
      </c>
      <c r="E322" t="s">
        <v>43</v>
      </c>
      <c r="F322">
        <v>2120</v>
      </c>
      <c r="G322">
        <v>38</v>
      </c>
      <c r="H322">
        <v>212</v>
      </c>
      <c r="I322">
        <v>12720</v>
      </c>
      <c r="J322">
        <v>12564</v>
      </c>
      <c r="K322">
        <v>21</v>
      </c>
      <c r="L322" t="s">
        <v>19</v>
      </c>
      <c r="M322" s="21">
        <v>0.18632075471698101</v>
      </c>
      <c r="N322" s="21">
        <v>1.6509433962264199E-3</v>
      </c>
      <c r="O322">
        <v>2370</v>
      </c>
      <c r="P322" t="s">
        <v>18</v>
      </c>
      <c r="Q32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322" s="22">
        <f>_xlfn.XLOOKUP(TBL_Post_1[[#This Row],[Campaign_Name]],TBL_Campaign_Data_1[Campaign_Name],TBL_Campaign_Data_1[Start_Date])</f>
        <v>45505</v>
      </c>
      <c r="S322" s="22">
        <f>_xlfn.XLOOKUP(TBL_Post_1[[#This Row],[Campaign_Name]],TBL_Campaign_Data_1[Campaign_Name],TBL_Campaign_Data_1[End_Date])</f>
        <v>45535</v>
      </c>
    </row>
    <row r="323" spans="1:19">
      <c r="A323" t="s">
        <v>425</v>
      </c>
      <c r="B323" t="s">
        <v>27</v>
      </c>
      <c r="C323" s="22">
        <v>45719</v>
      </c>
      <c r="D323" t="s">
        <v>69</v>
      </c>
      <c r="E323" t="s">
        <v>70</v>
      </c>
      <c r="F323">
        <v>3874</v>
      </c>
      <c r="G323">
        <v>884</v>
      </c>
      <c r="H323">
        <v>19</v>
      </c>
      <c r="I323">
        <v>38740</v>
      </c>
      <c r="J323">
        <v>38552</v>
      </c>
      <c r="K323">
        <v>219</v>
      </c>
      <c r="L323" t="s">
        <v>55</v>
      </c>
      <c r="M323" s="21">
        <v>0.123309241094476</v>
      </c>
      <c r="N323" s="21">
        <v>5.6530717604543097E-3</v>
      </c>
      <c r="O323">
        <v>4777</v>
      </c>
      <c r="P323" t="s">
        <v>58</v>
      </c>
      <c r="Q32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23" s="22">
        <f>_xlfn.XLOOKUP(TBL_Post_1[[#This Row],[Campaign_Name]],TBL_Campaign_Data_1[Campaign_Name],TBL_Campaign_Data_1[Start_Date])</f>
        <v>45667</v>
      </c>
      <c r="S323" s="22">
        <f>_xlfn.XLOOKUP(TBL_Post_1[[#This Row],[Campaign_Name]],TBL_Campaign_Data_1[Campaign_Name],TBL_Campaign_Data_1[End_Date])</f>
        <v>45698</v>
      </c>
    </row>
    <row r="324" spans="1:19">
      <c r="A324" t="s">
        <v>426</v>
      </c>
      <c r="B324" t="s">
        <v>40</v>
      </c>
      <c r="C324" s="22">
        <v>45778</v>
      </c>
      <c r="D324" t="s">
        <v>42</v>
      </c>
      <c r="E324" t="s">
        <v>43</v>
      </c>
      <c r="F324">
        <v>2696</v>
      </c>
      <c r="G324">
        <v>628</v>
      </c>
      <c r="H324">
        <v>443</v>
      </c>
      <c r="I324">
        <v>45832</v>
      </c>
      <c r="J324">
        <v>45632</v>
      </c>
      <c r="K324">
        <v>248</v>
      </c>
      <c r="L324" t="s">
        <v>38</v>
      </c>
      <c r="M324" s="21">
        <v>8.21914819340199E-2</v>
      </c>
      <c r="N324" s="21">
        <v>5.4110665037528398E-3</v>
      </c>
      <c r="O324">
        <v>3767</v>
      </c>
      <c r="P324" t="s">
        <v>18</v>
      </c>
      <c r="Q32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24" s="22">
        <f>_xlfn.XLOOKUP(TBL_Post_1[[#This Row],[Campaign_Name]],TBL_Campaign_Data_1[Campaign_Name],TBL_Campaign_Data_1[Start_Date])</f>
        <v>45570</v>
      </c>
      <c r="S324" s="22">
        <f>_xlfn.XLOOKUP(TBL_Post_1[[#This Row],[Campaign_Name]],TBL_Campaign_Data_1[Campaign_Name],TBL_Campaign_Data_1[End_Date])</f>
        <v>45601</v>
      </c>
    </row>
    <row r="325" spans="1:19">
      <c r="A325" t="s">
        <v>428</v>
      </c>
      <c r="B325" t="s">
        <v>31</v>
      </c>
      <c r="C325" s="22">
        <v>45649</v>
      </c>
      <c r="D325" t="s">
        <v>49</v>
      </c>
      <c r="E325" t="s">
        <v>50</v>
      </c>
      <c r="F325">
        <v>521</v>
      </c>
      <c r="G325">
        <v>746</v>
      </c>
      <c r="H325">
        <v>315</v>
      </c>
      <c r="I325">
        <v>4168</v>
      </c>
      <c r="J325">
        <v>3399</v>
      </c>
      <c r="K325">
        <v>282</v>
      </c>
      <c r="L325" t="s">
        <v>19</v>
      </c>
      <c r="M325" s="21">
        <v>0.379558541266795</v>
      </c>
      <c r="N325" s="21">
        <v>6.7658349328215003E-2</v>
      </c>
      <c r="O325">
        <v>1582</v>
      </c>
      <c r="P325" t="s">
        <v>18</v>
      </c>
      <c r="Q32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25" s="22">
        <f>_xlfn.XLOOKUP(TBL_Post_1[[#This Row],[Campaign_Name]],TBL_Campaign_Data_1[Campaign_Name],TBL_Campaign_Data_1[Start_Date])</f>
        <v>45505</v>
      </c>
      <c r="S325" s="22">
        <f>_xlfn.XLOOKUP(TBL_Post_1[[#This Row],[Campaign_Name]],TBL_Campaign_Data_1[Campaign_Name],TBL_Campaign_Data_1[End_Date])</f>
        <v>45535</v>
      </c>
    </row>
    <row r="326" spans="1:19">
      <c r="A326" t="s">
        <v>429</v>
      </c>
      <c r="B326" t="s">
        <v>40</v>
      </c>
      <c r="C326" s="22">
        <v>45783</v>
      </c>
      <c r="D326" t="s">
        <v>49</v>
      </c>
      <c r="E326" t="s">
        <v>50</v>
      </c>
      <c r="F326">
        <v>4872</v>
      </c>
      <c r="G326">
        <v>925</v>
      </c>
      <c r="H326">
        <v>176</v>
      </c>
      <c r="I326">
        <v>82824</v>
      </c>
      <c r="J326">
        <v>82543</v>
      </c>
      <c r="K326">
        <v>89</v>
      </c>
      <c r="L326" t="s">
        <v>19</v>
      </c>
      <c r="M326" s="21">
        <v>7.2116777745581007E-2</v>
      </c>
      <c r="N326" s="21">
        <v>1.0745677581377401E-3</v>
      </c>
      <c r="O326">
        <v>5973</v>
      </c>
      <c r="P326" t="s">
        <v>18</v>
      </c>
      <c r="Q32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26" s="22">
        <f>_xlfn.XLOOKUP(TBL_Post_1[[#This Row],[Campaign_Name]],TBL_Campaign_Data_1[Campaign_Name],TBL_Campaign_Data_1[Start_Date])</f>
        <v>45505</v>
      </c>
      <c r="S326" s="22">
        <f>_xlfn.XLOOKUP(TBL_Post_1[[#This Row],[Campaign_Name]],TBL_Campaign_Data_1[Campaign_Name],TBL_Campaign_Data_1[End_Date])</f>
        <v>45535</v>
      </c>
    </row>
    <row r="327" spans="1:19">
      <c r="A327" t="s">
        <v>429</v>
      </c>
      <c r="B327" t="s">
        <v>40</v>
      </c>
      <c r="C327" s="22">
        <v>45783</v>
      </c>
      <c r="D327" t="s">
        <v>49</v>
      </c>
      <c r="E327" t="s">
        <v>50</v>
      </c>
      <c r="F327">
        <v>4872</v>
      </c>
      <c r="G327">
        <v>925</v>
      </c>
      <c r="H327">
        <v>176</v>
      </c>
      <c r="I327">
        <v>82824</v>
      </c>
      <c r="J327">
        <v>82543</v>
      </c>
      <c r="K327">
        <v>89</v>
      </c>
      <c r="L327" t="s">
        <v>19</v>
      </c>
      <c r="M327" s="21">
        <v>7.2116777745581007E-2</v>
      </c>
      <c r="N327" s="21">
        <v>1.0745677581377401E-3</v>
      </c>
      <c r="O327">
        <v>5973</v>
      </c>
      <c r="P327" t="s">
        <v>44</v>
      </c>
      <c r="Q32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27" s="22">
        <f>_xlfn.XLOOKUP(TBL_Post_1[[#This Row],[Campaign_Name]],TBL_Campaign_Data_1[Campaign_Name],TBL_Campaign_Data_1[Start_Date])</f>
        <v>45505</v>
      </c>
      <c r="S327" s="22">
        <f>_xlfn.XLOOKUP(TBL_Post_1[[#This Row],[Campaign_Name]],TBL_Campaign_Data_1[Campaign_Name],TBL_Campaign_Data_1[End_Date])</f>
        <v>45535</v>
      </c>
    </row>
    <row r="328" spans="1:19">
      <c r="A328" t="s">
        <v>431</v>
      </c>
      <c r="B328" t="s">
        <v>27</v>
      </c>
      <c r="C328" s="22">
        <v>45502</v>
      </c>
      <c r="D328" t="s">
        <v>33</v>
      </c>
      <c r="E328" t="s">
        <v>34</v>
      </c>
      <c r="F328">
        <v>1509</v>
      </c>
      <c r="G328">
        <v>88</v>
      </c>
      <c r="H328">
        <v>163</v>
      </c>
      <c r="I328">
        <v>30180</v>
      </c>
      <c r="J328">
        <v>29689</v>
      </c>
      <c r="K328">
        <v>119</v>
      </c>
      <c r="L328" t="s">
        <v>19</v>
      </c>
      <c r="M328" s="21">
        <v>5.8316766070245198E-2</v>
      </c>
      <c r="N328" s="21">
        <v>3.9430086149768104E-3</v>
      </c>
      <c r="O328">
        <v>1760</v>
      </c>
      <c r="P328" t="s">
        <v>44</v>
      </c>
      <c r="Q32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328" s="22">
        <f>_xlfn.XLOOKUP(TBL_Post_1[[#This Row],[Campaign_Name]],TBL_Campaign_Data_1[Campaign_Name],TBL_Campaign_Data_1[Start_Date])</f>
        <v>45505</v>
      </c>
      <c r="S328" s="22">
        <f>_xlfn.XLOOKUP(TBL_Post_1[[#This Row],[Campaign_Name]],TBL_Campaign_Data_1[Campaign_Name],TBL_Campaign_Data_1[End_Date])</f>
        <v>45535</v>
      </c>
    </row>
    <row r="329" spans="1:19">
      <c r="A329" t="s">
        <v>432</v>
      </c>
      <c r="B329" t="s">
        <v>40</v>
      </c>
      <c r="C329" s="22">
        <v>45629</v>
      </c>
      <c r="D329" t="s">
        <v>49</v>
      </c>
      <c r="E329" t="s">
        <v>50</v>
      </c>
      <c r="F329">
        <v>4606</v>
      </c>
      <c r="G329">
        <v>931</v>
      </c>
      <c r="H329">
        <v>230</v>
      </c>
      <c r="I329">
        <v>92120</v>
      </c>
      <c r="J329">
        <v>91440</v>
      </c>
      <c r="K329">
        <v>56</v>
      </c>
      <c r="L329" t="s">
        <v>38</v>
      </c>
      <c r="M329" s="21">
        <v>6.2603126356925803E-2</v>
      </c>
      <c r="N329" s="21">
        <v>6.0790273556230996E-4</v>
      </c>
      <c r="O329">
        <v>5767</v>
      </c>
      <c r="P329" t="s">
        <v>77</v>
      </c>
      <c r="Q32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29" s="22">
        <f>_xlfn.XLOOKUP(TBL_Post_1[[#This Row],[Campaign_Name]],TBL_Campaign_Data_1[Campaign_Name],TBL_Campaign_Data_1[Start_Date])</f>
        <v>45570</v>
      </c>
      <c r="S329" s="22">
        <f>_xlfn.XLOOKUP(TBL_Post_1[[#This Row],[Campaign_Name]],TBL_Campaign_Data_1[Campaign_Name],TBL_Campaign_Data_1[End_Date])</f>
        <v>45601</v>
      </c>
    </row>
    <row r="330" spans="1:19">
      <c r="A330" t="s">
        <v>432</v>
      </c>
      <c r="B330" t="s">
        <v>40</v>
      </c>
      <c r="C330" s="22">
        <v>45629</v>
      </c>
      <c r="D330" t="s">
        <v>49</v>
      </c>
      <c r="E330" t="s">
        <v>50</v>
      </c>
      <c r="F330">
        <v>4606</v>
      </c>
      <c r="G330">
        <v>931</v>
      </c>
      <c r="H330">
        <v>230</v>
      </c>
      <c r="I330">
        <v>92120</v>
      </c>
      <c r="J330">
        <v>91440</v>
      </c>
      <c r="K330">
        <v>56</v>
      </c>
      <c r="L330" t="s">
        <v>38</v>
      </c>
      <c r="M330" s="21">
        <v>6.2603126356925803E-2</v>
      </c>
      <c r="N330" s="21">
        <v>6.0790273556230996E-4</v>
      </c>
      <c r="O330">
        <v>5767</v>
      </c>
      <c r="P330" t="s">
        <v>24</v>
      </c>
      <c r="Q33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30" s="22">
        <f>_xlfn.XLOOKUP(TBL_Post_1[[#This Row],[Campaign_Name]],TBL_Campaign_Data_1[Campaign_Name],TBL_Campaign_Data_1[Start_Date])</f>
        <v>45570</v>
      </c>
      <c r="S330" s="22">
        <f>_xlfn.XLOOKUP(TBL_Post_1[[#This Row],[Campaign_Name]],TBL_Campaign_Data_1[Campaign_Name],TBL_Campaign_Data_1[End_Date])</f>
        <v>45601</v>
      </c>
    </row>
    <row r="331" spans="1:19">
      <c r="A331" t="s">
        <v>433</v>
      </c>
      <c r="B331" t="s">
        <v>40</v>
      </c>
      <c r="C331" s="22">
        <v>45454</v>
      </c>
      <c r="D331" t="s">
        <v>42</v>
      </c>
      <c r="E331" t="s">
        <v>43</v>
      </c>
      <c r="F331">
        <v>1869</v>
      </c>
      <c r="G331">
        <v>453</v>
      </c>
      <c r="H331">
        <v>490</v>
      </c>
      <c r="I331">
        <v>14952</v>
      </c>
      <c r="J331">
        <v>14309</v>
      </c>
      <c r="K331">
        <v>275</v>
      </c>
      <c r="L331" t="s">
        <v>19</v>
      </c>
      <c r="M331" s="21">
        <v>0.18806848582129501</v>
      </c>
      <c r="N331" s="21">
        <v>1.83921883360086E-2</v>
      </c>
      <c r="O331">
        <v>2812</v>
      </c>
      <c r="P331" t="s">
        <v>77</v>
      </c>
      <c r="Q33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31" s="22">
        <f>_xlfn.XLOOKUP(TBL_Post_1[[#This Row],[Campaign_Name]],TBL_Campaign_Data_1[Campaign_Name],TBL_Campaign_Data_1[Start_Date])</f>
        <v>45505</v>
      </c>
      <c r="S331" s="22">
        <f>_xlfn.XLOOKUP(TBL_Post_1[[#This Row],[Campaign_Name]],TBL_Campaign_Data_1[Campaign_Name],TBL_Campaign_Data_1[End_Date])</f>
        <v>45535</v>
      </c>
    </row>
    <row r="332" spans="1:19">
      <c r="A332" t="s">
        <v>433</v>
      </c>
      <c r="B332" t="s">
        <v>40</v>
      </c>
      <c r="C332" s="22">
        <v>45454</v>
      </c>
      <c r="D332" t="s">
        <v>42</v>
      </c>
      <c r="E332" t="s">
        <v>43</v>
      </c>
      <c r="F332">
        <v>1869</v>
      </c>
      <c r="G332">
        <v>453</v>
      </c>
      <c r="H332">
        <v>490</v>
      </c>
      <c r="I332">
        <v>14952</v>
      </c>
      <c r="J332">
        <v>14309</v>
      </c>
      <c r="K332">
        <v>275</v>
      </c>
      <c r="L332" t="s">
        <v>19</v>
      </c>
      <c r="M332" s="21">
        <v>0.18806848582129501</v>
      </c>
      <c r="N332" s="21">
        <v>1.83921883360086E-2</v>
      </c>
      <c r="O332">
        <v>2812</v>
      </c>
      <c r="P332" t="s">
        <v>58</v>
      </c>
      <c r="Q33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32" s="22">
        <f>_xlfn.XLOOKUP(TBL_Post_1[[#This Row],[Campaign_Name]],TBL_Campaign_Data_1[Campaign_Name],TBL_Campaign_Data_1[Start_Date])</f>
        <v>45505</v>
      </c>
      <c r="S332" s="22">
        <f>_xlfn.XLOOKUP(TBL_Post_1[[#This Row],[Campaign_Name]],TBL_Campaign_Data_1[Campaign_Name],TBL_Campaign_Data_1[End_Date])</f>
        <v>45535</v>
      </c>
    </row>
    <row r="333" spans="1:19">
      <c r="A333" t="s">
        <v>434</v>
      </c>
      <c r="B333" t="s">
        <v>14</v>
      </c>
      <c r="C333" s="22">
        <v>45685</v>
      </c>
      <c r="D333" t="s">
        <v>16</v>
      </c>
      <c r="E333" t="s">
        <v>17</v>
      </c>
      <c r="F333">
        <v>1188</v>
      </c>
      <c r="G333">
        <v>470</v>
      </c>
      <c r="H333">
        <v>174</v>
      </c>
      <c r="I333">
        <v>7128</v>
      </c>
      <c r="J333">
        <v>6145</v>
      </c>
      <c r="K333">
        <v>270</v>
      </c>
      <c r="L333" t="s">
        <v>25</v>
      </c>
      <c r="M333" s="21">
        <v>0.25701459034792401</v>
      </c>
      <c r="N333" s="21">
        <v>3.7878787878787901E-2</v>
      </c>
      <c r="O333">
        <v>1832</v>
      </c>
      <c r="P333" t="s">
        <v>58</v>
      </c>
      <c r="Q33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33" s="22">
        <f>_xlfn.XLOOKUP(TBL_Post_1[[#This Row],[Campaign_Name]],TBL_Campaign_Data_1[Campaign_Name],TBL_Campaign_Data_1[Start_Date])</f>
        <v>45453</v>
      </c>
      <c r="S333" s="22">
        <f>_xlfn.XLOOKUP(TBL_Post_1[[#This Row],[Campaign_Name]],TBL_Campaign_Data_1[Campaign_Name],TBL_Campaign_Data_1[End_Date])</f>
        <v>45478</v>
      </c>
    </row>
    <row r="334" spans="1:19">
      <c r="A334" t="s">
        <v>434</v>
      </c>
      <c r="B334" t="s">
        <v>14</v>
      </c>
      <c r="C334" s="22">
        <v>45685</v>
      </c>
      <c r="D334" t="s">
        <v>16</v>
      </c>
      <c r="E334" t="s">
        <v>17</v>
      </c>
      <c r="F334">
        <v>1188</v>
      </c>
      <c r="G334">
        <v>470</v>
      </c>
      <c r="H334">
        <v>174</v>
      </c>
      <c r="I334">
        <v>7128</v>
      </c>
      <c r="J334">
        <v>6145</v>
      </c>
      <c r="K334">
        <v>270</v>
      </c>
      <c r="L334" t="s">
        <v>25</v>
      </c>
      <c r="M334" s="21">
        <v>0.25701459034792401</v>
      </c>
      <c r="N334" s="21">
        <v>3.7878787878787901E-2</v>
      </c>
      <c r="O334">
        <v>1832</v>
      </c>
      <c r="P334" t="s">
        <v>24</v>
      </c>
      <c r="Q33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34" s="22">
        <f>_xlfn.XLOOKUP(TBL_Post_1[[#This Row],[Campaign_Name]],TBL_Campaign_Data_1[Campaign_Name],TBL_Campaign_Data_1[Start_Date])</f>
        <v>45453</v>
      </c>
      <c r="S334" s="22">
        <f>_xlfn.XLOOKUP(TBL_Post_1[[#This Row],[Campaign_Name]],TBL_Campaign_Data_1[Campaign_Name],TBL_Campaign_Data_1[End_Date])</f>
        <v>45478</v>
      </c>
    </row>
    <row r="335" spans="1:19">
      <c r="A335" t="s">
        <v>435</v>
      </c>
      <c r="B335" t="s">
        <v>31</v>
      </c>
      <c r="C335" s="22">
        <v>45445</v>
      </c>
      <c r="D335" t="s">
        <v>33</v>
      </c>
      <c r="E335" t="s">
        <v>34</v>
      </c>
      <c r="F335">
        <v>84</v>
      </c>
      <c r="G335">
        <v>897</v>
      </c>
      <c r="H335">
        <v>85</v>
      </c>
      <c r="I335">
        <v>588</v>
      </c>
      <c r="J335">
        <v>8</v>
      </c>
      <c r="K335">
        <v>12</v>
      </c>
      <c r="L335" t="s">
        <v>25</v>
      </c>
      <c r="M335" s="21">
        <v>1.81292517006803</v>
      </c>
      <c r="N335" s="21">
        <v>2.04081632653061E-2</v>
      </c>
      <c r="O335">
        <v>1066</v>
      </c>
      <c r="P335" t="s">
        <v>58</v>
      </c>
      <c r="Q33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335" s="22">
        <f>_xlfn.XLOOKUP(TBL_Post_1[[#This Row],[Campaign_Name]],TBL_Campaign_Data_1[Campaign_Name],TBL_Campaign_Data_1[Start_Date])</f>
        <v>45453</v>
      </c>
      <c r="S335" s="22">
        <f>_xlfn.XLOOKUP(TBL_Post_1[[#This Row],[Campaign_Name]],TBL_Campaign_Data_1[Campaign_Name],TBL_Campaign_Data_1[End_Date])</f>
        <v>45478</v>
      </c>
    </row>
    <row r="336" spans="1:19">
      <c r="A336" t="s">
        <v>436</v>
      </c>
      <c r="B336" t="s">
        <v>40</v>
      </c>
      <c r="C336" s="22">
        <v>45739</v>
      </c>
      <c r="D336" t="s">
        <v>69</v>
      </c>
      <c r="E336" t="s">
        <v>70</v>
      </c>
      <c r="F336">
        <v>4453</v>
      </c>
      <c r="G336">
        <v>111</v>
      </c>
      <c r="H336">
        <v>420</v>
      </c>
      <c r="I336">
        <v>31171</v>
      </c>
      <c r="J336">
        <v>30565</v>
      </c>
      <c r="K336">
        <v>23</v>
      </c>
      <c r="L336" t="s">
        <v>55</v>
      </c>
      <c r="M336" s="21">
        <v>0.15989220750056099</v>
      </c>
      <c r="N336" s="21">
        <v>7.3786532353790403E-4</v>
      </c>
      <c r="O336">
        <v>4984</v>
      </c>
      <c r="P336" t="s">
        <v>44</v>
      </c>
      <c r="Q33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36" s="22">
        <f>_xlfn.XLOOKUP(TBL_Post_1[[#This Row],[Campaign_Name]],TBL_Campaign_Data_1[Campaign_Name],TBL_Campaign_Data_1[Start_Date])</f>
        <v>45667</v>
      </c>
      <c r="S336" s="22">
        <f>_xlfn.XLOOKUP(TBL_Post_1[[#This Row],[Campaign_Name]],TBL_Campaign_Data_1[Campaign_Name],TBL_Campaign_Data_1[End_Date])</f>
        <v>45698</v>
      </c>
    </row>
    <row r="337" spans="1:19">
      <c r="A337" t="s">
        <v>436</v>
      </c>
      <c r="B337" t="s">
        <v>40</v>
      </c>
      <c r="C337" s="22">
        <v>45739</v>
      </c>
      <c r="D337" t="s">
        <v>69</v>
      </c>
      <c r="E337" t="s">
        <v>70</v>
      </c>
      <c r="F337">
        <v>4453</v>
      </c>
      <c r="G337">
        <v>111</v>
      </c>
      <c r="H337">
        <v>420</v>
      </c>
      <c r="I337">
        <v>31171</v>
      </c>
      <c r="J337">
        <v>30565</v>
      </c>
      <c r="K337">
        <v>23</v>
      </c>
      <c r="L337" t="s">
        <v>55</v>
      </c>
      <c r="M337" s="21">
        <v>0.15989220750056099</v>
      </c>
      <c r="N337" s="21">
        <v>7.3786532353790403E-4</v>
      </c>
      <c r="O337">
        <v>4984</v>
      </c>
      <c r="P337" t="s">
        <v>24</v>
      </c>
      <c r="Q33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37" s="22">
        <f>_xlfn.XLOOKUP(TBL_Post_1[[#This Row],[Campaign_Name]],TBL_Campaign_Data_1[Campaign_Name],TBL_Campaign_Data_1[Start_Date])</f>
        <v>45667</v>
      </c>
      <c r="S337" s="22">
        <f>_xlfn.XLOOKUP(TBL_Post_1[[#This Row],[Campaign_Name]],TBL_Campaign_Data_1[Campaign_Name],TBL_Campaign_Data_1[End_Date])</f>
        <v>45698</v>
      </c>
    </row>
    <row r="338" spans="1:19">
      <c r="A338" t="s">
        <v>437</v>
      </c>
      <c r="B338" t="s">
        <v>40</v>
      </c>
      <c r="C338" s="22">
        <v>45573</v>
      </c>
      <c r="D338" t="s">
        <v>16</v>
      </c>
      <c r="E338" t="s">
        <v>17</v>
      </c>
      <c r="F338">
        <v>1814</v>
      </c>
      <c r="G338">
        <v>653</v>
      </c>
      <c r="H338">
        <v>363</v>
      </c>
      <c r="I338">
        <v>25396</v>
      </c>
      <c r="J338">
        <v>25286</v>
      </c>
      <c r="K338">
        <v>39</v>
      </c>
      <c r="L338" t="s">
        <v>19</v>
      </c>
      <c r="M338" s="21">
        <v>0.11143487163332801</v>
      </c>
      <c r="N338" s="21">
        <v>1.5356749094345601E-3</v>
      </c>
      <c r="O338">
        <v>2830</v>
      </c>
      <c r="P338" t="s">
        <v>58</v>
      </c>
      <c r="Q33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38" s="22">
        <f>_xlfn.XLOOKUP(TBL_Post_1[[#This Row],[Campaign_Name]],TBL_Campaign_Data_1[Campaign_Name],TBL_Campaign_Data_1[Start_Date])</f>
        <v>45505</v>
      </c>
      <c r="S338" s="22">
        <f>_xlfn.XLOOKUP(TBL_Post_1[[#This Row],[Campaign_Name]],TBL_Campaign_Data_1[Campaign_Name],TBL_Campaign_Data_1[End_Date])</f>
        <v>45535</v>
      </c>
    </row>
    <row r="339" spans="1:19">
      <c r="A339" t="s">
        <v>439</v>
      </c>
      <c r="B339" t="s">
        <v>14</v>
      </c>
      <c r="C339" s="22">
        <v>45608</v>
      </c>
      <c r="D339" t="s">
        <v>49</v>
      </c>
      <c r="E339" t="s">
        <v>50</v>
      </c>
      <c r="F339">
        <v>3338</v>
      </c>
      <c r="G339">
        <v>277</v>
      </c>
      <c r="H339">
        <v>118</v>
      </c>
      <c r="I339">
        <v>60084</v>
      </c>
      <c r="J339">
        <v>59842</v>
      </c>
      <c r="K339">
        <v>252</v>
      </c>
      <c r="L339" t="s">
        <v>19</v>
      </c>
      <c r="M339" s="21">
        <v>6.2129685107516201E-2</v>
      </c>
      <c r="N339" s="21">
        <v>4.1941282204913102E-3</v>
      </c>
      <c r="O339">
        <v>3733</v>
      </c>
      <c r="P339" t="s">
        <v>58</v>
      </c>
      <c r="Q33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39" s="22">
        <f>_xlfn.XLOOKUP(TBL_Post_1[[#This Row],[Campaign_Name]],TBL_Campaign_Data_1[Campaign_Name],TBL_Campaign_Data_1[Start_Date])</f>
        <v>45505</v>
      </c>
      <c r="S339" s="22">
        <f>_xlfn.XLOOKUP(TBL_Post_1[[#This Row],[Campaign_Name]],TBL_Campaign_Data_1[Campaign_Name],TBL_Campaign_Data_1[End_Date])</f>
        <v>45535</v>
      </c>
    </row>
    <row r="340" spans="1:19">
      <c r="A340" t="s">
        <v>440</v>
      </c>
      <c r="B340" t="s">
        <v>40</v>
      </c>
      <c r="C340" s="22">
        <v>45790</v>
      </c>
      <c r="D340" t="s">
        <v>49</v>
      </c>
      <c r="E340" t="s">
        <v>50</v>
      </c>
      <c r="F340">
        <v>602</v>
      </c>
      <c r="G340">
        <v>594</v>
      </c>
      <c r="H340">
        <v>156</v>
      </c>
      <c r="I340">
        <v>4214</v>
      </c>
      <c r="J340">
        <v>3363</v>
      </c>
      <c r="K340">
        <v>164</v>
      </c>
      <c r="L340" t="s">
        <v>38</v>
      </c>
      <c r="M340" s="21">
        <v>0.32083531086853301</v>
      </c>
      <c r="N340" s="21">
        <v>3.8917892738490702E-2</v>
      </c>
      <c r="O340">
        <v>1352</v>
      </c>
      <c r="P340" t="s">
        <v>18</v>
      </c>
      <c r="Q34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40" s="22">
        <f>_xlfn.XLOOKUP(TBL_Post_1[[#This Row],[Campaign_Name]],TBL_Campaign_Data_1[Campaign_Name],TBL_Campaign_Data_1[Start_Date])</f>
        <v>45570</v>
      </c>
      <c r="S340" s="22">
        <f>_xlfn.XLOOKUP(TBL_Post_1[[#This Row],[Campaign_Name]],TBL_Campaign_Data_1[Campaign_Name],TBL_Campaign_Data_1[End_Date])</f>
        <v>45601</v>
      </c>
    </row>
    <row r="341" spans="1:19">
      <c r="A341" t="s">
        <v>442</v>
      </c>
      <c r="B341" t="s">
        <v>14</v>
      </c>
      <c r="C341" s="22">
        <v>45463</v>
      </c>
      <c r="D341" t="s">
        <v>42</v>
      </c>
      <c r="E341" t="s">
        <v>43</v>
      </c>
      <c r="F341">
        <v>4672</v>
      </c>
      <c r="G341">
        <v>325</v>
      </c>
      <c r="H341">
        <v>32</v>
      </c>
      <c r="I341">
        <v>88768</v>
      </c>
      <c r="J341">
        <v>87833</v>
      </c>
      <c r="K341">
        <v>118</v>
      </c>
      <c r="L341" t="s">
        <v>38</v>
      </c>
      <c r="M341" s="21">
        <v>5.6653298485940903E-2</v>
      </c>
      <c r="N341" s="21">
        <v>1.3293078586878199E-3</v>
      </c>
      <c r="O341">
        <v>5029</v>
      </c>
      <c r="P341" t="s">
        <v>77</v>
      </c>
      <c r="Q34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41" s="22">
        <f>_xlfn.XLOOKUP(TBL_Post_1[[#This Row],[Campaign_Name]],TBL_Campaign_Data_1[Campaign_Name],TBL_Campaign_Data_1[Start_Date])</f>
        <v>45570</v>
      </c>
      <c r="S341" s="22">
        <f>_xlfn.XLOOKUP(TBL_Post_1[[#This Row],[Campaign_Name]],TBL_Campaign_Data_1[Campaign_Name],TBL_Campaign_Data_1[End_Date])</f>
        <v>45601</v>
      </c>
    </row>
    <row r="342" spans="1:19">
      <c r="A342" t="s">
        <v>442</v>
      </c>
      <c r="B342" t="s">
        <v>14</v>
      </c>
      <c r="C342" s="22">
        <v>45463</v>
      </c>
      <c r="D342" t="s">
        <v>42</v>
      </c>
      <c r="E342" t="s">
        <v>43</v>
      </c>
      <c r="F342">
        <v>4672</v>
      </c>
      <c r="G342">
        <v>325</v>
      </c>
      <c r="H342">
        <v>32</v>
      </c>
      <c r="I342">
        <v>88768</v>
      </c>
      <c r="J342">
        <v>87833</v>
      </c>
      <c r="K342">
        <v>118</v>
      </c>
      <c r="L342" t="s">
        <v>38</v>
      </c>
      <c r="M342" s="21">
        <v>5.6653298485940903E-2</v>
      </c>
      <c r="N342" s="21">
        <v>1.3293078586878199E-3</v>
      </c>
      <c r="O342">
        <v>5029</v>
      </c>
      <c r="P342" t="s">
        <v>18</v>
      </c>
      <c r="Q34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42" s="22">
        <f>_xlfn.XLOOKUP(TBL_Post_1[[#This Row],[Campaign_Name]],TBL_Campaign_Data_1[Campaign_Name],TBL_Campaign_Data_1[Start_Date])</f>
        <v>45570</v>
      </c>
      <c r="S342" s="22">
        <f>_xlfn.XLOOKUP(TBL_Post_1[[#This Row],[Campaign_Name]],TBL_Campaign_Data_1[Campaign_Name],TBL_Campaign_Data_1[End_Date])</f>
        <v>45601</v>
      </c>
    </row>
    <row r="343" spans="1:19">
      <c r="A343" t="s">
        <v>443</v>
      </c>
      <c r="B343" t="s">
        <v>31</v>
      </c>
      <c r="C343" s="22">
        <v>45511</v>
      </c>
      <c r="D343" t="s">
        <v>42</v>
      </c>
      <c r="E343" t="s">
        <v>43</v>
      </c>
      <c r="F343">
        <v>1741</v>
      </c>
      <c r="G343">
        <v>164</v>
      </c>
      <c r="H343">
        <v>318</v>
      </c>
      <c r="I343">
        <v>8705</v>
      </c>
      <c r="J343">
        <v>8272</v>
      </c>
      <c r="K343">
        <v>121</v>
      </c>
      <c r="L343" t="s">
        <v>25</v>
      </c>
      <c r="M343" s="21">
        <v>0.25537047673750701</v>
      </c>
      <c r="N343" s="21">
        <v>1.3900057438253901E-2</v>
      </c>
      <c r="O343">
        <v>2223</v>
      </c>
      <c r="P343" t="s">
        <v>18</v>
      </c>
      <c r="Q34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43" s="22">
        <f>_xlfn.XLOOKUP(TBL_Post_1[[#This Row],[Campaign_Name]],TBL_Campaign_Data_1[Campaign_Name],TBL_Campaign_Data_1[Start_Date])</f>
        <v>45453</v>
      </c>
      <c r="S343" s="22">
        <f>_xlfn.XLOOKUP(TBL_Post_1[[#This Row],[Campaign_Name]],TBL_Campaign_Data_1[Campaign_Name],TBL_Campaign_Data_1[End_Date])</f>
        <v>45478</v>
      </c>
    </row>
    <row r="344" spans="1:19">
      <c r="A344" t="s">
        <v>445</v>
      </c>
      <c r="B344" t="s">
        <v>31</v>
      </c>
      <c r="C344" s="22">
        <v>45455</v>
      </c>
      <c r="D344" t="s">
        <v>22</v>
      </c>
      <c r="E344" t="s">
        <v>23</v>
      </c>
      <c r="F344">
        <v>246</v>
      </c>
      <c r="G344">
        <v>149</v>
      </c>
      <c r="H344">
        <v>130</v>
      </c>
      <c r="I344">
        <v>4674</v>
      </c>
      <c r="J344">
        <v>4390</v>
      </c>
      <c r="K344">
        <v>217</v>
      </c>
      <c r="L344" t="s">
        <v>25</v>
      </c>
      <c r="M344" s="21">
        <v>0.112323491655969</v>
      </c>
      <c r="N344" s="21">
        <v>4.6427043217800598E-2</v>
      </c>
      <c r="O344">
        <v>525</v>
      </c>
      <c r="P344" t="s">
        <v>44</v>
      </c>
      <c r="Q34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44" s="22">
        <f>_xlfn.XLOOKUP(TBL_Post_1[[#This Row],[Campaign_Name]],TBL_Campaign_Data_1[Campaign_Name],TBL_Campaign_Data_1[Start_Date])</f>
        <v>45453</v>
      </c>
      <c r="S344" s="22">
        <f>_xlfn.XLOOKUP(TBL_Post_1[[#This Row],[Campaign_Name]],TBL_Campaign_Data_1[Campaign_Name],TBL_Campaign_Data_1[End_Date])</f>
        <v>45478</v>
      </c>
    </row>
    <row r="345" spans="1:19">
      <c r="A345" t="s">
        <v>445</v>
      </c>
      <c r="B345" t="s">
        <v>31</v>
      </c>
      <c r="C345" s="22">
        <v>45455</v>
      </c>
      <c r="D345" t="s">
        <v>22</v>
      </c>
      <c r="E345" t="s">
        <v>23</v>
      </c>
      <c r="F345">
        <v>246</v>
      </c>
      <c r="G345">
        <v>149</v>
      </c>
      <c r="H345">
        <v>130</v>
      </c>
      <c r="I345">
        <v>4674</v>
      </c>
      <c r="J345">
        <v>4390</v>
      </c>
      <c r="K345">
        <v>217</v>
      </c>
      <c r="L345" t="s">
        <v>25</v>
      </c>
      <c r="M345" s="21">
        <v>0.112323491655969</v>
      </c>
      <c r="N345" s="21">
        <v>4.6427043217800598E-2</v>
      </c>
      <c r="O345">
        <v>525</v>
      </c>
      <c r="P345" t="s">
        <v>77</v>
      </c>
      <c r="Q34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45" s="22">
        <f>_xlfn.XLOOKUP(TBL_Post_1[[#This Row],[Campaign_Name]],TBL_Campaign_Data_1[Campaign_Name],TBL_Campaign_Data_1[Start_Date])</f>
        <v>45453</v>
      </c>
      <c r="S345" s="22">
        <f>_xlfn.XLOOKUP(TBL_Post_1[[#This Row],[Campaign_Name]],TBL_Campaign_Data_1[Campaign_Name],TBL_Campaign_Data_1[End_Date])</f>
        <v>45478</v>
      </c>
    </row>
    <row r="346" spans="1:19">
      <c r="A346" t="s">
        <v>447</v>
      </c>
      <c r="B346" t="s">
        <v>31</v>
      </c>
      <c r="C346" s="22">
        <v>45474</v>
      </c>
      <c r="D346" t="s">
        <v>33</v>
      </c>
      <c r="E346" t="s">
        <v>34</v>
      </c>
      <c r="F346">
        <v>4808</v>
      </c>
      <c r="G346">
        <v>772</v>
      </c>
      <c r="H346">
        <v>320</v>
      </c>
      <c r="I346">
        <v>72120</v>
      </c>
      <c r="J346">
        <v>71696</v>
      </c>
      <c r="K346">
        <v>195</v>
      </c>
      <c r="L346" t="s">
        <v>55</v>
      </c>
      <c r="M346" s="21">
        <v>8.1808097615086006E-2</v>
      </c>
      <c r="N346" s="21">
        <v>2.7038269550748802E-3</v>
      </c>
      <c r="O346">
        <v>5900</v>
      </c>
      <c r="P346" t="s">
        <v>44</v>
      </c>
      <c r="Q34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46" s="22">
        <f>_xlfn.XLOOKUP(TBL_Post_1[[#This Row],[Campaign_Name]],TBL_Campaign_Data_1[Campaign_Name],TBL_Campaign_Data_1[Start_Date])</f>
        <v>45667</v>
      </c>
      <c r="S346" s="22">
        <f>_xlfn.XLOOKUP(TBL_Post_1[[#This Row],[Campaign_Name]],TBL_Campaign_Data_1[Campaign_Name],TBL_Campaign_Data_1[End_Date])</f>
        <v>45698</v>
      </c>
    </row>
    <row r="347" spans="1:19">
      <c r="A347" t="s">
        <v>447</v>
      </c>
      <c r="B347" t="s">
        <v>31</v>
      </c>
      <c r="C347" s="22">
        <v>45474</v>
      </c>
      <c r="D347" t="s">
        <v>33</v>
      </c>
      <c r="E347" t="s">
        <v>34</v>
      </c>
      <c r="F347">
        <v>4808</v>
      </c>
      <c r="G347">
        <v>772</v>
      </c>
      <c r="H347">
        <v>320</v>
      </c>
      <c r="I347">
        <v>72120</v>
      </c>
      <c r="J347">
        <v>71696</v>
      </c>
      <c r="K347">
        <v>195</v>
      </c>
      <c r="L347" t="s">
        <v>55</v>
      </c>
      <c r="M347" s="21">
        <v>8.1808097615086006E-2</v>
      </c>
      <c r="N347" s="21">
        <v>2.7038269550748802E-3</v>
      </c>
      <c r="O347">
        <v>5900</v>
      </c>
      <c r="P347" t="s">
        <v>18</v>
      </c>
      <c r="Q34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47" s="22">
        <f>_xlfn.XLOOKUP(TBL_Post_1[[#This Row],[Campaign_Name]],TBL_Campaign_Data_1[Campaign_Name],TBL_Campaign_Data_1[Start_Date])</f>
        <v>45667</v>
      </c>
      <c r="S347" s="22">
        <f>_xlfn.XLOOKUP(TBL_Post_1[[#This Row],[Campaign_Name]],TBL_Campaign_Data_1[Campaign_Name],TBL_Campaign_Data_1[End_Date])</f>
        <v>45698</v>
      </c>
    </row>
    <row r="348" spans="1:19">
      <c r="A348" t="s">
        <v>449</v>
      </c>
      <c r="B348" t="s">
        <v>31</v>
      </c>
      <c r="C348" s="22">
        <v>45476</v>
      </c>
      <c r="D348" t="s">
        <v>42</v>
      </c>
      <c r="E348" t="s">
        <v>43</v>
      </c>
      <c r="F348">
        <v>4799</v>
      </c>
      <c r="G348">
        <v>694</v>
      </c>
      <c r="H348">
        <v>289</v>
      </c>
      <c r="I348">
        <v>43191</v>
      </c>
      <c r="J348">
        <v>42228</v>
      </c>
      <c r="K348">
        <v>118</v>
      </c>
      <c r="L348" t="s">
        <v>25</v>
      </c>
      <c r="M348" s="21">
        <v>0.1338704822764</v>
      </c>
      <c r="N348" s="21">
        <v>2.7320506587020402E-3</v>
      </c>
      <c r="O348">
        <v>5782</v>
      </c>
      <c r="P348" t="s">
        <v>44</v>
      </c>
      <c r="Q34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48" s="22">
        <f>_xlfn.XLOOKUP(TBL_Post_1[[#This Row],[Campaign_Name]],TBL_Campaign_Data_1[Campaign_Name],TBL_Campaign_Data_1[Start_Date])</f>
        <v>45453</v>
      </c>
      <c r="S348" s="22">
        <f>_xlfn.XLOOKUP(TBL_Post_1[[#This Row],[Campaign_Name]],TBL_Campaign_Data_1[Campaign_Name],TBL_Campaign_Data_1[End_Date])</f>
        <v>45478</v>
      </c>
    </row>
    <row r="349" spans="1:19">
      <c r="A349" t="s">
        <v>450</v>
      </c>
      <c r="B349" t="s">
        <v>40</v>
      </c>
      <c r="C349" s="22">
        <v>45488</v>
      </c>
      <c r="D349" t="s">
        <v>16</v>
      </c>
      <c r="E349" t="s">
        <v>17</v>
      </c>
      <c r="F349">
        <v>3663</v>
      </c>
      <c r="G349">
        <v>17</v>
      </c>
      <c r="H349">
        <v>295</v>
      </c>
      <c r="I349">
        <v>51282</v>
      </c>
      <c r="J349">
        <v>50567</v>
      </c>
      <c r="K349">
        <v>84</v>
      </c>
      <c r="L349" t="s">
        <v>19</v>
      </c>
      <c r="M349" s="21">
        <v>7.7512577512577494E-2</v>
      </c>
      <c r="N349" s="21">
        <v>1.6380016380016401E-3</v>
      </c>
      <c r="O349">
        <v>3975</v>
      </c>
      <c r="P349" t="s">
        <v>18</v>
      </c>
      <c r="Q34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49" s="22">
        <f>_xlfn.XLOOKUP(TBL_Post_1[[#This Row],[Campaign_Name]],TBL_Campaign_Data_1[Campaign_Name],TBL_Campaign_Data_1[Start_Date])</f>
        <v>45505</v>
      </c>
      <c r="S349" s="22">
        <f>_xlfn.XLOOKUP(TBL_Post_1[[#This Row],[Campaign_Name]],TBL_Campaign_Data_1[Campaign_Name],TBL_Campaign_Data_1[End_Date])</f>
        <v>45535</v>
      </c>
    </row>
    <row r="350" spans="1:19">
      <c r="A350" t="s">
        <v>451</v>
      </c>
      <c r="B350" t="s">
        <v>31</v>
      </c>
      <c r="C350" s="22">
        <v>45778</v>
      </c>
      <c r="D350" t="s">
        <v>22</v>
      </c>
      <c r="E350" t="s">
        <v>23</v>
      </c>
      <c r="F350">
        <v>1430</v>
      </c>
      <c r="G350">
        <v>376</v>
      </c>
      <c r="H350">
        <v>33</v>
      </c>
      <c r="I350">
        <v>21450</v>
      </c>
      <c r="J350">
        <v>20509</v>
      </c>
      <c r="K350">
        <v>251</v>
      </c>
      <c r="L350" t="s">
        <v>38</v>
      </c>
      <c r="M350" s="21">
        <v>8.5734265734265694E-2</v>
      </c>
      <c r="N350" s="21">
        <v>1.1701631701631699E-2</v>
      </c>
      <c r="O350">
        <v>1839</v>
      </c>
      <c r="P350" t="s">
        <v>77</v>
      </c>
      <c r="Q35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50" s="22">
        <f>_xlfn.XLOOKUP(TBL_Post_1[[#This Row],[Campaign_Name]],TBL_Campaign_Data_1[Campaign_Name],TBL_Campaign_Data_1[Start_Date])</f>
        <v>45570</v>
      </c>
      <c r="S350" s="22">
        <f>_xlfn.XLOOKUP(TBL_Post_1[[#This Row],[Campaign_Name]],TBL_Campaign_Data_1[Campaign_Name],TBL_Campaign_Data_1[End_Date])</f>
        <v>45601</v>
      </c>
    </row>
    <row r="351" spans="1:19">
      <c r="A351" t="s">
        <v>452</v>
      </c>
      <c r="B351" t="s">
        <v>14</v>
      </c>
      <c r="C351" s="22">
        <v>45776</v>
      </c>
      <c r="D351" t="s">
        <v>33</v>
      </c>
      <c r="E351" t="s">
        <v>34</v>
      </c>
      <c r="F351">
        <v>249</v>
      </c>
      <c r="G351">
        <v>592</v>
      </c>
      <c r="H351">
        <v>230</v>
      </c>
      <c r="I351">
        <v>1494</v>
      </c>
      <c r="J351">
        <v>1044</v>
      </c>
      <c r="K351">
        <v>201</v>
      </c>
      <c r="L351" t="s">
        <v>55</v>
      </c>
      <c r="M351" s="21">
        <v>0.71686746987951799</v>
      </c>
      <c r="N351" s="21">
        <v>0.134538152610442</v>
      </c>
      <c r="O351">
        <v>1071</v>
      </c>
      <c r="P351" t="s">
        <v>24</v>
      </c>
      <c r="Q35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51" s="22">
        <f>_xlfn.XLOOKUP(TBL_Post_1[[#This Row],[Campaign_Name]],TBL_Campaign_Data_1[Campaign_Name],TBL_Campaign_Data_1[Start_Date])</f>
        <v>45667</v>
      </c>
      <c r="S351" s="22">
        <f>_xlfn.XLOOKUP(TBL_Post_1[[#This Row],[Campaign_Name]],TBL_Campaign_Data_1[Campaign_Name],TBL_Campaign_Data_1[End_Date])</f>
        <v>45698</v>
      </c>
    </row>
    <row r="352" spans="1:19">
      <c r="A352" t="s">
        <v>452</v>
      </c>
      <c r="B352" t="s">
        <v>14</v>
      </c>
      <c r="C352" s="22">
        <v>45776</v>
      </c>
      <c r="D352" t="s">
        <v>33</v>
      </c>
      <c r="E352" t="s">
        <v>34</v>
      </c>
      <c r="F352">
        <v>249</v>
      </c>
      <c r="G352">
        <v>592</v>
      </c>
      <c r="H352">
        <v>230</v>
      </c>
      <c r="I352">
        <v>1494</v>
      </c>
      <c r="J352">
        <v>1044</v>
      </c>
      <c r="K352">
        <v>201</v>
      </c>
      <c r="L352" t="s">
        <v>55</v>
      </c>
      <c r="M352" s="21">
        <v>0.71686746987951799</v>
      </c>
      <c r="N352" s="21">
        <v>0.134538152610442</v>
      </c>
      <c r="O352">
        <v>1071</v>
      </c>
      <c r="P352" t="s">
        <v>44</v>
      </c>
      <c r="Q35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52" s="22">
        <f>_xlfn.XLOOKUP(TBL_Post_1[[#This Row],[Campaign_Name]],TBL_Campaign_Data_1[Campaign_Name],TBL_Campaign_Data_1[Start_Date])</f>
        <v>45667</v>
      </c>
      <c r="S352" s="22">
        <f>_xlfn.XLOOKUP(TBL_Post_1[[#This Row],[Campaign_Name]],TBL_Campaign_Data_1[Campaign_Name],TBL_Campaign_Data_1[End_Date])</f>
        <v>45698</v>
      </c>
    </row>
    <row r="353" spans="1:19">
      <c r="A353" t="s">
        <v>454</v>
      </c>
      <c r="B353" t="s">
        <v>40</v>
      </c>
      <c r="C353" s="22">
        <v>45724</v>
      </c>
      <c r="D353" t="s">
        <v>49</v>
      </c>
      <c r="E353" t="s">
        <v>50</v>
      </c>
      <c r="F353">
        <v>2382</v>
      </c>
      <c r="G353">
        <v>265</v>
      </c>
      <c r="H353">
        <v>134</v>
      </c>
      <c r="I353">
        <v>38112</v>
      </c>
      <c r="J353">
        <v>37437</v>
      </c>
      <c r="K353">
        <v>249</v>
      </c>
      <c r="L353" t="s">
        <v>25</v>
      </c>
      <c r="M353" s="21">
        <v>7.2969143576826198E-2</v>
      </c>
      <c r="N353" s="21">
        <v>6.5333753148614599E-3</v>
      </c>
      <c r="O353">
        <v>2781</v>
      </c>
      <c r="P353" t="s">
        <v>77</v>
      </c>
      <c r="Q35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53" s="22">
        <f>_xlfn.XLOOKUP(TBL_Post_1[[#This Row],[Campaign_Name]],TBL_Campaign_Data_1[Campaign_Name],TBL_Campaign_Data_1[Start_Date])</f>
        <v>45453</v>
      </c>
      <c r="S353" s="22">
        <f>_xlfn.XLOOKUP(TBL_Post_1[[#This Row],[Campaign_Name]],TBL_Campaign_Data_1[Campaign_Name],TBL_Campaign_Data_1[End_Date])</f>
        <v>45478</v>
      </c>
    </row>
    <row r="354" spans="1:19">
      <c r="A354" t="s">
        <v>454</v>
      </c>
      <c r="B354" t="s">
        <v>40</v>
      </c>
      <c r="C354" s="22">
        <v>45724</v>
      </c>
      <c r="D354" t="s">
        <v>49</v>
      </c>
      <c r="E354" t="s">
        <v>50</v>
      </c>
      <c r="F354">
        <v>2382</v>
      </c>
      <c r="G354">
        <v>265</v>
      </c>
      <c r="H354">
        <v>134</v>
      </c>
      <c r="I354">
        <v>38112</v>
      </c>
      <c r="J354">
        <v>37437</v>
      </c>
      <c r="K354">
        <v>249</v>
      </c>
      <c r="L354" t="s">
        <v>25</v>
      </c>
      <c r="M354" s="21">
        <v>7.2969143576826198E-2</v>
      </c>
      <c r="N354" s="21">
        <v>6.5333753148614599E-3</v>
      </c>
      <c r="O354">
        <v>2781</v>
      </c>
      <c r="P354" t="s">
        <v>44</v>
      </c>
      <c r="Q35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54" s="22">
        <f>_xlfn.XLOOKUP(TBL_Post_1[[#This Row],[Campaign_Name]],TBL_Campaign_Data_1[Campaign_Name],TBL_Campaign_Data_1[Start_Date])</f>
        <v>45453</v>
      </c>
      <c r="S354" s="22">
        <f>_xlfn.XLOOKUP(TBL_Post_1[[#This Row],[Campaign_Name]],TBL_Campaign_Data_1[Campaign_Name],TBL_Campaign_Data_1[End_Date])</f>
        <v>45478</v>
      </c>
    </row>
    <row r="355" spans="1:19">
      <c r="A355" t="s">
        <v>455</v>
      </c>
      <c r="B355" t="s">
        <v>40</v>
      </c>
      <c r="C355" s="22">
        <v>45444</v>
      </c>
      <c r="D355" t="s">
        <v>22</v>
      </c>
      <c r="E355" t="s">
        <v>23</v>
      </c>
      <c r="F355">
        <v>1272</v>
      </c>
      <c r="G355">
        <v>465</v>
      </c>
      <c r="H355">
        <v>99</v>
      </c>
      <c r="I355">
        <v>24168</v>
      </c>
      <c r="J355">
        <v>23719</v>
      </c>
      <c r="K355">
        <v>42</v>
      </c>
      <c r="L355" t="s">
        <v>25</v>
      </c>
      <c r="M355" s="21">
        <v>7.5968222442899705E-2</v>
      </c>
      <c r="N355" s="21">
        <v>1.7378351539225399E-3</v>
      </c>
      <c r="O355">
        <v>1836</v>
      </c>
      <c r="P355" t="s">
        <v>24</v>
      </c>
      <c r="Q35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355" s="22">
        <f>_xlfn.XLOOKUP(TBL_Post_1[[#This Row],[Campaign_Name]],TBL_Campaign_Data_1[Campaign_Name],TBL_Campaign_Data_1[Start_Date])</f>
        <v>45453</v>
      </c>
      <c r="S355" s="22">
        <f>_xlfn.XLOOKUP(TBL_Post_1[[#This Row],[Campaign_Name]],TBL_Campaign_Data_1[Campaign_Name],TBL_Campaign_Data_1[End_Date])</f>
        <v>45478</v>
      </c>
    </row>
    <row r="356" spans="1:19">
      <c r="A356" t="s">
        <v>455</v>
      </c>
      <c r="B356" t="s">
        <v>40</v>
      </c>
      <c r="C356" s="22">
        <v>45444</v>
      </c>
      <c r="D356" t="s">
        <v>22</v>
      </c>
      <c r="E356" t="s">
        <v>23</v>
      </c>
      <c r="F356">
        <v>1272</v>
      </c>
      <c r="G356">
        <v>465</v>
      </c>
      <c r="H356">
        <v>99</v>
      </c>
      <c r="I356">
        <v>24168</v>
      </c>
      <c r="J356">
        <v>23719</v>
      </c>
      <c r="K356">
        <v>42</v>
      </c>
      <c r="L356" t="s">
        <v>25</v>
      </c>
      <c r="M356" s="21">
        <v>7.5968222442899705E-2</v>
      </c>
      <c r="N356" s="21">
        <v>1.7378351539225399E-3</v>
      </c>
      <c r="O356">
        <v>1836</v>
      </c>
      <c r="P356" t="s">
        <v>77</v>
      </c>
      <c r="Q35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356" s="22">
        <f>_xlfn.XLOOKUP(TBL_Post_1[[#This Row],[Campaign_Name]],TBL_Campaign_Data_1[Campaign_Name],TBL_Campaign_Data_1[Start_Date])</f>
        <v>45453</v>
      </c>
      <c r="S356" s="22">
        <f>_xlfn.XLOOKUP(TBL_Post_1[[#This Row],[Campaign_Name]],TBL_Campaign_Data_1[Campaign_Name],TBL_Campaign_Data_1[End_Date])</f>
        <v>45478</v>
      </c>
    </row>
    <row r="357" spans="1:19">
      <c r="A357" t="s">
        <v>457</v>
      </c>
      <c r="B357" t="s">
        <v>40</v>
      </c>
      <c r="C357" s="22">
        <v>45648</v>
      </c>
      <c r="D357" t="s">
        <v>49</v>
      </c>
      <c r="E357" t="s">
        <v>50</v>
      </c>
      <c r="F357">
        <v>3196</v>
      </c>
      <c r="G357">
        <v>941</v>
      </c>
      <c r="H357">
        <v>376</v>
      </c>
      <c r="I357">
        <v>35156</v>
      </c>
      <c r="J357">
        <v>34444</v>
      </c>
      <c r="K357">
        <v>241</v>
      </c>
      <c r="L357" t="s">
        <v>55</v>
      </c>
      <c r="M357" s="21">
        <v>0.12837069063602199</v>
      </c>
      <c r="N357" s="21">
        <v>6.8551598589145502E-3</v>
      </c>
      <c r="O357">
        <v>4513</v>
      </c>
      <c r="P357" t="s">
        <v>58</v>
      </c>
      <c r="Q35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57" s="22">
        <f>_xlfn.XLOOKUP(TBL_Post_1[[#This Row],[Campaign_Name]],TBL_Campaign_Data_1[Campaign_Name],TBL_Campaign_Data_1[Start_Date])</f>
        <v>45667</v>
      </c>
      <c r="S357" s="22">
        <f>_xlfn.XLOOKUP(TBL_Post_1[[#This Row],[Campaign_Name]],TBL_Campaign_Data_1[Campaign_Name],TBL_Campaign_Data_1[End_Date])</f>
        <v>45698</v>
      </c>
    </row>
    <row r="358" spans="1:19">
      <c r="A358" t="s">
        <v>457</v>
      </c>
      <c r="B358" t="s">
        <v>40</v>
      </c>
      <c r="C358" s="22">
        <v>45648</v>
      </c>
      <c r="D358" t="s">
        <v>49</v>
      </c>
      <c r="E358" t="s">
        <v>50</v>
      </c>
      <c r="F358">
        <v>3196</v>
      </c>
      <c r="G358">
        <v>941</v>
      </c>
      <c r="H358">
        <v>376</v>
      </c>
      <c r="I358">
        <v>35156</v>
      </c>
      <c r="J358">
        <v>34444</v>
      </c>
      <c r="K358">
        <v>241</v>
      </c>
      <c r="L358" t="s">
        <v>55</v>
      </c>
      <c r="M358" s="21">
        <v>0.12837069063602199</v>
      </c>
      <c r="N358" s="21">
        <v>6.8551598589145502E-3</v>
      </c>
      <c r="O358">
        <v>4513</v>
      </c>
      <c r="P358" t="s">
        <v>44</v>
      </c>
      <c r="Q35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58" s="22">
        <f>_xlfn.XLOOKUP(TBL_Post_1[[#This Row],[Campaign_Name]],TBL_Campaign_Data_1[Campaign_Name],TBL_Campaign_Data_1[Start_Date])</f>
        <v>45667</v>
      </c>
      <c r="S358" s="22">
        <f>_xlfn.XLOOKUP(TBL_Post_1[[#This Row],[Campaign_Name]],TBL_Campaign_Data_1[Campaign_Name],TBL_Campaign_Data_1[End_Date])</f>
        <v>45698</v>
      </c>
    </row>
    <row r="359" spans="1:19">
      <c r="A359" t="s">
        <v>458</v>
      </c>
      <c r="B359" t="s">
        <v>40</v>
      </c>
      <c r="C359" s="22">
        <v>45523</v>
      </c>
      <c r="D359" t="s">
        <v>22</v>
      </c>
      <c r="E359" t="s">
        <v>23</v>
      </c>
      <c r="F359">
        <v>1257</v>
      </c>
      <c r="G359">
        <v>19</v>
      </c>
      <c r="H359">
        <v>351</v>
      </c>
      <c r="I359">
        <v>12570</v>
      </c>
      <c r="J359">
        <v>11660</v>
      </c>
      <c r="K359">
        <v>194</v>
      </c>
      <c r="L359" t="s">
        <v>19</v>
      </c>
      <c r="M359" s="21">
        <v>0.12943516308671399</v>
      </c>
      <c r="N359" s="21">
        <v>1.54335719968178E-2</v>
      </c>
      <c r="O359">
        <v>1627</v>
      </c>
      <c r="P359" t="s">
        <v>58</v>
      </c>
      <c r="Q35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59" s="22">
        <f>_xlfn.XLOOKUP(TBL_Post_1[[#This Row],[Campaign_Name]],TBL_Campaign_Data_1[Campaign_Name],TBL_Campaign_Data_1[Start_Date])</f>
        <v>45505</v>
      </c>
      <c r="S359" s="22">
        <f>_xlfn.XLOOKUP(TBL_Post_1[[#This Row],[Campaign_Name]],TBL_Campaign_Data_1[Campaign_Name],TBL_Campaign_Data_1[End_Date])</f>
        <v>45535</v>
      </c>
    </row>
    <row r="360" spans="1:19">
      <c r="A360" t="s">
        <v>459</v>
      </c>
      <c r="B360" t="s">
        <v>31</v>
      </c>
      <c r="C360" s="22">
        <v>45587</v>
      </c>
      <c r="D360" t="s">
        <v>33</v>
      </c>
      <c r="E360" t="s">
        <v>34</v>
      </c>
      <c r="F360">
        <v>3770</v>
      </c>
      <c r="G360">
        <v>917</v>
      </c>
      <c r="H360">
        <v>129</v>
      </c>
      <c r="I360">
        <v>71630</v>
      </c>
      <c r="J360">
        <v>71322</v>
      </c>
      <c r="K360">
        <v>76</v>
      </c>
      <c r="L360" t="s">
        <v>55</v>
      </c>
      <c r="M360" s="21">
        <v>6.7234398994834604E-2</v>
      </c>
      <c r="N360" s="21">
        <v>1.0610079575596801E-3</v>
      </c>
      <c r="O360">
        <v>4816</v>
      </c>
      <c r="P360" t="s">
        <v>18</v>
      </c>
      <c r="Q36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60" s="22">
        <f>_xlfn.XLOOKUP(TBL_Post_1[[#This Row],[Campaign_Name]],TBL_Campaign_Data_1[Campaign_Name],TBL_Campaign_Data_1[Start_Date])</f>
        <v>45667</v>
      </c>
      <c r="S360" s="22">
        <f>_xlfn.XLOOKUP(TBL_Post_1[[#This Row],[Campaign_Name]],TBL_Campaign_Data_1[Campaign_Name],TBL_Campaign_Data_1[End_Date])</f>
        <v>45698</v>
      </c>
    </row>
    <row r="361" spans="1:19">
      <c r="A361" t="s">
        <v>459</v>
      </c>
      <c r="B361" t="s">
        <v>31</v>
      </c>
      <c r="C361" s="22">
        <v>45587</v>
      </c>
      <c r="D361" t="s">
        <v>33</v>
      </c>
      <c r="E361" t="s">
        <v>34</v>
      </c>
      <c r="F361">
        <v>3770</v>
      </c>
      <c r="G361">
        <v>917</v>
      </c>
      <c r="H361">
        <v>129</v>
      </c>
      <c r="I361">
        <v>71630</v>
      </c>
      <c r="J361">
        <v>71322</v>
      </c>
      <c r="K361">
        <v>76</v>
      </c>
      <c r="L361" t="s">
        <v>55</v>
      </c>
      <c r="M361" s="21">
        <v>6.7234398994834604E-2</v>
      </c>
      <c r="N361" s="21">
        <v>1.0610079575596801E-3</v>
      </c>
      <c r="O361">
        <v>4816</v>
      </c>
      <c r="P361" t="s">
        <v>44</v>
      </c>
      <c r="Q36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61" s="22">
        <f>_xlfn.XLOOKUP(TBL_Post_1[[#This Row],[Campaign_Name]],TBL_Campaign_Data_1[Campaign_Name],TBL_Campaign_Data_1[Start_Date])</f>
        <v>45667</v>
      </c>
      <c r="S361" s="22">
        <f>_xlfn.XLOOKUP(TBL_Post_1[[#This Row],[Campaign_Name]],TBL_Campaign_Data_1[Campaign_Name],TBL_Campaign_Data_1[End_Date])</f>
        <v>45698</v>
      </c>
    </row>
    <row r="362" spans="1:19">
      <c r="A362" t="s">
        <v>460</v>
      </c>
      <c r="B362" t="s">
        <v>14</v>
      </c>
      <c r="C362" s="22">
        <v>45489</v>
      </c>
      <c r="D362" t="s">
        <v>22</v>
      </c>
      <c r="E362" t="s">
        <v>23</v>
      </c>
      <c r="F362">
        <v>4725</v>
      </c>
      <c r="G362">
        <v>400</v>
      </c>
      <c r="H362">
        <v>362</v>
      </c>
      <c r="I362">
        <v>75600</v>
      </c>
      <c r="J362">
        <v>74927</v>
      </c>
      <c r="K362">
        <v>43</v>
      </c>
      <c r="L362" t="s">
        <v>19</v>
      </c>
      <c r="M362" s="21">
        <v>7.2579365079365105E-2</v>
      </c>
      <c r="N362" s="21">
        <v>5.6878306878306898E-4</v>
      </c>
      <c r="O362">
        <v>5487</v>
      </c>
      <c r="P362" t="s">
        <v>44</v>
      </c>
      <c r="Q36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62" s="22">
        <f>_xlfn.XLOOKUP(TBL_Post_1[[#This Row],[Campaign_Name]],TBL_Campaign_Data_1[Campaign_Name],TBL_Campaign_Data_1[Start_Date])</f>
        <v>45505</v>
      </c>
      <c r="S362" s="22">
        <f>_xlfn.XLOOKUP(TBL_Post_1[[#This Row],[Campaign_Name]],TBL_Campaign_Data_1[Campaign_Name],TBL_Campaign_Data_1[End_Date])</f>
        <v>45535</v>
      </c>
    </row>
    <row r="363" spans="1:19">
      <c r="A363" t="s">
        <v>460</v>
      </c>
      <c r="B363" t="s">
        <v>14</v>
      </c>
      <c r="C363" s="22">
        <v>45489</v>
      </c>
      <c r="D363" t="s">
        <v>22</v>
      </c>
      <c r="E363" t="s">
        <v>23</v>
      </c>
      <c r="F363">
        <v>4725</v>
      </c>
      <c r="G363">
        <v>400</v>
      </c>
      <c r="H363">
        <v>362</v>
      </c>
      <c r="I363">
        <v>75600</v>
      </c>
      <c r="J363">
        <v>74927</v>
      </c>
      <c r="K363">
        <v>43</v>
      </c>
      <c r="L363" t="s">
        <v>19</v>
      </c>
      <c r="M363" s="21">
        <v>7.2579365079365105E-2</v>
      </c>
      <c r="N363" s="21">
        <v>5.6878306878306898E-4</v>
      </c>
      <c r="O363">
        <v>5487</v>
      </c>
      <c r="P363" t="s">
        <v>24</v>
      </c>
      <c r="Q36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63" s="22">
        <f>_xlfn.XLOOKUP(TBL_Post_1[[#This Row],[Campaign_Name]],TBL_Campaign_Data_1[Campaign_Name],TBL_Campaign_Data_1[Start_Date])</f>
        <v>45505</v>
      </c>
      <c r="S363" s="22">
        <f>_xlfn.XLOOKUP(TBL_Post_1[[#This Row],[Campaign_Name]],TBL_Campaign_Data_1[Campaign_Name],TBL_Campaign_Data_1[End_Date])</f>
        <v>45535</v>
      </c>
    </row>
    <row r="364" spans="1:19">
      <c r="A364" t="s">
        <v>462</v>
      </c>
      <c r="B364" t="s">
        <v>27</v>
      </c>
      <c r="C364" s="22">
        <v>45712</v>
      </c>
      <c r="D364" t="s">
        <v>22</v>
      </c>
      <c r="E364" t="s">
        <v>23</v>
      </c>
      <c r="F364">
        <v>4188</v>
      </c>
      <c r="G364">
        <v>942</v>
      </c>
      <c r="H364">
        <v>118</v>
      </c>
      <c r="I364">
        <v>20940</v>
      </c>
      <c r="J364">
        <v>20471</v>
      </c>
      <c r="K364">
        <v>102</v>
      </c>
      <c r="L364" t="s">
        <v>25</v>
      </c>
      <c r="M364" s="21">
        <v>0.25062082139446001</v>
      </c>
      <c r="N364" s="21">
        <v>4.8710601719197701E-3</v>
      </c>
      <c r="O364">
        <v>5248</v>
      </c>
      <c r="P364" t="s">
        <v>58</v>
      </c>
      <c r="Q36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64" s="22">
        <f>_xlfn.XLOOKUP(TBL_Post_1[[#This Row],[Campaign_Name]],TBL_Campaign_Data_1[Campaign_Name],TBL_Campaign_Data_1[Start_Date])</f>
        <v>45453</v>
      </c>
      <c r="S364" s="22">
        <f>_xlfn.XLOOKUP(TBL_Post_1[[#This Row],[Campaign_Name]],TBL_Campaign_Data_1[Campaign_Name],TBL_Campaign_Data_1[End_Date])</f>
        <v>45478</v>
      </c>
    </row>
    <row r="365" spans="1:19">
      <c r="A365" t="s">
        <v>463</v>
      </c>
      <c r="B365" t="s">
        <v>14</v>
      </c>
      <c r="C365" s="22">
        <v>45530</v>
      </c>
      <c r="D365" t="s">
        <v>42</v>
      </c>
      <c r="E365" t="s">
        <v>43</v>
      </c>
      <c r="F365">
        <v>929</v>
      </c>
      <c r="G365">
        <v>192</v>
      </c>
      <c r="H365">
        <v>322</v>
      </c>
      <c r="I365">
        <v>16722</v>
      </c>
      <c r="J365">
        <v>15996</v>
      </c>
      <c r="K365">
        <v>145</v>
      </c>
      <c r="L365" t="s">
        <v>38</v>
      </c>
      <c r="M365" s="21">
        <v>8.6293505561535699E-2</v>
      </c>
      <c r="N365" s="21">
        <v>8.6712115775624907E-3</v>
      </c>
      <c r="O365">
        <v>1443</v>
      </c>
      <c r="P365" t="s">
        <v>24</v>
      </c>
      <c r="Q36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65" s="22">
        <f>_xlfn.XLOOKUP(TBL_Post_1[[#This Row],[Campaign_Name]],TBL_Campaign_Data_1[Campaign_Name],TBL_Campaign_Data_1[Start_Date])</f>
        <v>45570</v>
      </c>
      <c r="S365" s="22">
        <f>_xlfn.XLOOKUP(TBL_Post_1[[#This Row],[Campaign_Name]],TBL_Campaign_Data_1[Campaign_Name],TBL_Campaign_Data_1[End_Date])</f>
        <v>45601</v>
      </c>
    </row>
    <row r="366" spans="1:19">
      <c r="A366" t="s">
        <v>464</v>
      </c>
      <c r="B366" t="s">
        <v>40</v>
      </c>
      <c r="C366" s="22">
        <v>45675</v>
      </c>
      <c r="D366" t="s">
        <v>33</v>
      </c>
      <c r="E366" t="s">
        <v>34</v>
      </c>
      <c r="F366">
        <v>4321</v>
      </c>
      <c r="G366">
        <v>874</v>
      </c>
      <c r="H366">
        <v>172</v>
      </c>
      <c r="I366">
        <v>30247</v>
      </c>
      <c r="J366">
        <v>29254</v>
      </c>
      <c r="K366">
        <v>122</v>
      </c>
      <c r="L366" t="s">
        <v>38</v>
      </c>
      <c r="M366" s="21">
        <v>0.17743908486792101</v>
      </c>
      <c r="N366" s="21">
        <v>4.0334578635897803E-3</v>
      </c>
      <c r="O366">
        <v>5367</v>
      </c>
      <c r="P366" t="s">
        <v>18</v>
      </c>
      <c r="Q36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66" s="22">
        <f>_xlfn.XLOOKUP(TBL_Post_1[[#This Row],[Campaign_Name]],TBL_Campaign_Data_1[Campaign_Name],TBL_Campaign_Data_1[Start_Date])</f>
        <v>45570</v>
      </c>
      <c r="S366" s="22">
        <f>_xlfn.XLOOKUP(TBL_Post_1[[#This Row],[Campaign_Name]],TBL_Campaign_Data_1[Campaign_Name],TBL_Campaign_Data_1[End_Date])</f>
        <v>45601</v>
      </c>
    </row>
    <row r="367" spans="1:19">
      <c r="A367" t="s">
        <v>464</v>
      </c>
      <c r="B367" t="s">
        <v>40</v>
      </c>
      <c r="C367" s="22">
        <v>45675</v>
      </c>
      <c r="D367" t="s">
        <v>33</v>
      </c>
      <c r="E367" t="s">
        <v>34</v>
      </c>
      <c r="F367">
        <v>4321</v>
      </c>
      <c r="G367">
        <v>874</v>
      </c>
      <c r="H367">
        <v>172</v>
      </c>
      <c r="I367">
        <v>30247</v>
      </c>
      <c r="J367">
        <v>29254</v>
      </c>
      <c r="K367">
        <v>122</v>
      </c>
      <c r="L367" t="s">
        <v>38</v>
      </c>
      <c r="M367" s="21">
        <v>0.17743908486792101</v>
      </c>
      <c r="N367" s="21">
        <v>4.0334578635897803E-3</v>
      </c>
      <c r="O367">
        <v>5367</v>
      </c>
      <c r="P367" t="s">
        <v>24</v>
      </c>
      <c r="Q36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67" s="22">
        <f>_xlfn.XLOOKUP(TBL_Post_1[[#This Row],[Campaign_Name]],TBL_Campaign_Data_1[Campaign_Name],TBL_Campaign_Data_1[Start_Date])</f>
        <v>45570</v>
      </c>
      <c r="S367" s="22">
        <f>_xlfn.XLOOKUP(TBL_Post_1[[#This Row],[Campaign_Name]],TBL_Campaign_Data_1[Campaign_Name],TBL_Campaign_Data_1[End_Date])</f>
        <v>45601</v>
      </c>
    </row>
    <row r="368" spans="1:19">
      <c r="A368" t="s">
        <v>466</v>
      </c>
      <c r="B368" t="s">
        <v>40</v>
      </c>
      <c r="C368" s="22">
        <v>45480</v>
      </c>
      <c r="D368" t="s">
        <v>16</v>
      </c>
      <c r="E368" t="s">
        <v>17</v>
      </c>
      <c r="F368">
        <v>4767</v>
      </c>
      <c r="G368">
        <v>190</v>
      </c>
      <c r="H368">
        <v>340</v>
      </c>
      <c r="I368">
        <v>28602</v>
      </c>
      <c r="J368">
        <v>28044</v>
      </c>
      <c r="K368">
        <v>210</v>
      </c>
      <c r="L368" t="s">
        <v>55</v>
      </c>
      <c r="M368" s="21">
        <v>0.18519683938186099</v>
      </c>
      <c r="N368" s="21">
        <v>7.3421439060205604E-3</v>
      </c>
      <c r="O368">
        <v>5297</v>
      </c>
      <c r="P368" t="s">
        <v>77</v>
      </c>
      <c r="Q36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68" s="22">
        <f>_xlfn.XLOOKUP(TBL_Post_1[[#This Row],[Campaign_Name]],TBL_Campaign_Data_1[Campaign_Name],TBL_Campaign_Data_1[Start_Date])</f>
        <v>45667</v>
      </c>
      <c r="S368" s="22">
        <f>_xlfn.XLOOKUP(TBL_Post_1[[#This Row],[Campaign_Name]],TBL_Campaign_Data_1[Campaign_Name],TBL_Campaign_Data_1[End_Date])</f>
        <v>45698</v>
      </c>
    </row>
    <row r="369" spans="1:19">
      <c r="A369" t="s">
        <v>467</v>
      </c>
      <c r="B369" t="s">
        <v>14</v>
      </c>
      <c r="C369" s="22">
        <v>45722</v>
      </c>
      <c r="D369" t="s">
        <v>49</v>
      </c>
      <c r="E369" t="s">
        <v>50</v>
      </c>
      <c r="F369">
        <v>3592</v>
      </c>
      <c r="G369">
        <v>911</v>
      </c>
      <c r="H369">
        <v>375</v>
      </c>
      <c r="I369">
        <v>50288</v>
      </c>
      <c r="J369">
        <v>49490</v>
      </c>
      <c r="K369">
        <v>32</v>
      </c>
      <c r="L369" t="s">
        <v>25</v>
      </c>
      <c r="M369" s="21">
        <v>9.7001272669424099E-2</v>
      </c>
      <c r="N369" s="21">
        <v>6.36334712058543E-4</v>
      </c>
      <c r="O369">
        <v>4878</v>
      </c>
      <c r="P369" t="s">
        <v>58</v>
      </c>
      <c r="Q36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69" s="22">
        <f>_xlfn.XLOOKUP(TBL_Post_1[[#This Row],[Campaign_Name]],TBL_Campaign_Data_1[Campaign_Name],TBL_Campaign_Data_1[Start_Date])</f>
        <v>45453</v>
      </c>
      <c r="S369" s="22">
        <f>_xlfn.XLOOKUP(TBL_Post_1[[#This Row],[Campaign_Name]],TBL_Campaign_Data_1[Campaign_Name],TBL_Campaign_Data_1[End_Date])</f>
        <v>45478</v>
      </c>
    </row>
    <row r="370" spans="1:19">
      <c r="A370" t="s">
        <v>469</v>
      </c>
      <c r="B370" t="s">
        <v>27</v>
      </c>
      <c r="C370" s="22">
        <v>45590</v>
      </c>
      <c r="D370" t="s">
        <v>69</v>
      </c>
      <c r="E370" t="s">
        <v>70</v>
      </c>
      <c r="F370">
        <v>4661</v>
      </c>
      <c r="G370">
        <v>935</v>
      </c>
      <c r="H370">
        <v>433</v>
      </c>
      <c r="I370">
        <v>23305</v>
      </c>
      <c r="J370">
        <v>22583</v>
      </c>
      <c r="K370">
        <v>63</v>
      </c>
      <c r="L370" t="s">
        <v>19</v>
      </c>
      <c r="M370" s="21">
        <v>0.258699849817636</v>
      </c>
      <c r="N370" s="21">
        <v>2.7032825573911198E-3</v>
      </c>
      <c r="O370">
        <v>6029</v>
      </c>
      <c r="P370" t="s">
        <v>58</v>
      </c>
      <c r="Q37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70" s="22">
        <f>_xlfn.XLOOKUP(TBL_Post_1[[#This Row],[Campaign_Name]],TBL_Campaign_Data_1[Campaign_Name],TBL_Campaign_Data_1[Start_Date])</f>
        <v>45505</v>
      </c>
      <c r="S370" s="22">
        <f>_xlfn.XLOOKUP(TBL_Post_1[[#This Row],[Campaign_Name]],TBL_Campaign_Data_1[Campaign_Name],TBL_Campaign_Data_1[End_Date])</f>
        <v>45535</v>
      </c>
    </row>
    <row r="371" spans="1:19">
      <c r="A371" t="s">
        <v>469</v>
      </c>
      <c r="B371" t="s">
        <v>27</v>
      </c>
      <c r="C371" s="22">
        <v>45590</v>
      </c>
      <c r="D371" t="s">
        <v>69</v>
      </c>
      <c r="E371" t="s">
        <v>70</v>
      </c>
      <c r="F371">
        <v>4661</v>
      </c>
      <c r="G371">
        <v>935</v>
      </c>
      <c r="H371">
        <v>433</v>
      </c>
      <c r="I371">
        <v>23305</v>
      </c>
      <c r="J371">
        <v>22583</v>
      </c>
      <c r="K371">
        <v>63</v>
      </c>
      <c r="L371" t="s">
        <v>19</v>
      </c>
      <c r="M371" s="21">
        <v>0.258699849817636</v>
      </c>
      <c r="N371" s="21">
        <v>2.7032825573911198E-3</v>
      </c>
      <c r="O371">
        <v>6029</v>
      </c>
      <c r="P371" t="s">
        <v>77</v>
      </c>
      <c r="Q37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71" s="22">
        <f>_xlfn.XLOOKUP(TBL_Post_1[[#This Row],[Campaign_Name]],TBL_Campaign_Data_1[Campaign_Name],TBL_Campaign_Data_1[Start_Date])</f>
        <v>45505</v>
      </c>
      <c r="S371" s="22">
        <f>_xlfn.XLOOKUP(TBL_Post_1[[#This Row],[Campaign_Name]],TBL_Campaign_Data_1[Campaign_Name],TBL_Campaign_Data_1[End_Date])</f>
        <v>45535</v>
      </c>
    </row>
    <row r="372" spans="1:19">
      <c r="A372" t="s">
        <v>471</v>
      </c>
      <c r="B372" t="s">
        <v>40</v>
      </c>
      <c r="C372" s="22">
        <v>45669</v>
      </c>
      <c r="D372" t="s">
        <v>16</v>
      </c>
      <c r="E372" t="s">
        <v>17</v>
      </c>
      <c r="F372">
        <v>4134</v>
      </c>
      <c r="G372">
        <v>824</v>
      </c>
      <c r="H372">
        <v>99</v>
      </c>
      <c r="I372">
        <v>41340</v>
      </c>
      <c r="J372">
        <v>41050</v>
      </c>
      <c r="K372">
        <v>177</v>
      </c>
      <c r="L372" t="s">
        <v>25</v>
      </c>
      <c r="M372" s="21">
        <v>0.122327044025157</v>
      </c>
      <c r="N372" s="21">
        <v>4.2815674891146602E-3</v>
      </c>
      <c r="O372">
        <v>5057</v>
      </c>
      <c r="P372" t="s">
        <v>24</v>
      </c>
      <c r="Q37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72" s="22">
        <f>_xlfn.XLOOKUP(TBL_Post_1[[#This Row],[Campaign_Name]],TBL_Campaign_Data_1[Campaign_Name],TBL_Campaign_Data_1[Start_Date])</f>
        <v>45453</v>
      </c>
      <c r="S372" s="22">
        <f>_xlfn.XLOOKUP(TBL_Post_1[[#This Row],[Campaign_Name]],TBL_Campaign_Data_1[Campaign_Name],TBL_Campaign_Data_1[End_Date])</f>
        <v>45478</v>
      </c>
    </row>
    <row r="373" spans="1:19">
      <c r="A373" t="s">
        <v>473</v>
      </c>
      <c r="B373" t="s">
        <v>40</v>
      </c>
      <c r="C373" s="22">
        <v>45576</v>
      </c>
      <c r="D373" t="s">
        <v>49</v>
      </c>
      <c r="E373" t="s">
        <v>50</v>
      </c>
      <c r="F373">
        <v>400</v>
      </c>
      <c r="G373">
        <v>680</v>
      </c>
      <c r="H373">
        <v>434</v>
      </c>
      <c r="I373">
        <v>6400</v>
      </c>
      <c r="J373">
        <v>5472</v>
      </c>
      <c r="K373">
        <v>160</v>
      </c>
      <c r="L373" t="s">
        <v>25</v>
      </c>
      <c r="M373" s="21">
        <v>0.23656250000000001</v>
      </c>
      <c r="N373" s="21">
        <v>2.5000000000000001E-2</v>
      </c>
      <c r="O373">
        <v>1514</v>
      </c>
      <c r="P373" t="s">
        <v>18</v>
      </c>
      <c r="Q37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73" s="22">
        <f>_xlfn.XLOOKUP(TBL_Post_1[[#This Row],[Campaign_Name]],TBL_Campaign_Data_1[Campaign_Name],TBL_Campaign_Data_1[Start_Date])</f>
        <v>45453</v>
      </c>
      <c r="S373" s="22">
        <f>_xlfn.XLOOKUP(TBL_Post_1[[#This Row],[Campaign_Name]],TBL_Campaign_Data_1[Campaign_Name],TBL_Campaign_Data_1[End_Date])</f>
        <v>45478</v>
      </c>
    </row>
    <row r="374" spans="1:19">
      <c r="A374" t="s">
        <v>473</v>
      </c>
      <c r="B374" t="s">
        <v>40</v>
      </c>
      <c r="C374" s="22">
        <v>45576</v>
      </c>
      <c r="D374" t="s">
        <v>49</v>
      </c>
      <c r="E374" t="s">
        <v>50</v>
      </c>
      <c r="F374">
        <v>400</v>
      </c>
      <c r="G374">
        <v>680</v>
      </c>
      <c r="H374">
        <v>434</v>
      </c>
      <c r="I374">
        <v>6400</v>
      </c>
      <c r="J374">
        <v>5472</v>
      </c>
      <c r="K374">
        <v>160</v>
      </c>
      <c r="L374" t="s">
        <v>25</v>
      </c>
      <c r="M374" s="21">
        <v>0.23656250000000001</v>
      </c>
      <c r="N374" s="21">
        <v>2.5000000000000001E-2</v>
      </c>
      <c r="O374">
        <v>1514</v>
      </c>
      <c r="P374" t="s">
        <v>44</v>
      </c>
      <c r="Q37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74" s="22">
        <f>_xlfn.XLOOKUP(TBL_Post_1[[#This Row],[Campaign_Name]],TBL_Campaign_Data_1[Campaign_Name],TBL_Campaign_Data_1[Start_Date])</f>
        <v>45453</v>
      </c>
      <c r="S374" s="22">
        <f>_xlfn.XLOOKUP(TBL_Post_1[[#This Row],[Campaign_Name]],TBL_Campaign_Data_1[Campaign_Name],TBL_Campaign_Data_1[End_Date])</f>
        <v>45478</v>
      </c>
    </row>
    <row r="375" spans="1:19">
      <c r="A375" t="s">
        <v>475</v>
      </c>
      <c r="B375" t="s">
        <v>40</v>
      </c>
      <c r="C375" s="22">
        <v>45531</v>
      </c>
      <c r="D375" t="s">
        <v>16</v>
      </c>
      <c r="E375" t="s">
        <v>17</v>
      </c>
      <c r="F375">
        <v>3960</v>
      </c>
      <c r="G375">
        <v>266</v>
      </c>
      <c r="H375">
        <v>8</v>
      </c>
      <c r="I375">
        <v>35640</v>
      </c>
      <c r="J375">
        <v>34850</v>
      </c>
      <c r="K375">
        <v>208</v>
      </c>
      <c r="L375" t="s">
        <v>55</v>
      </c>
      <c r="M375" s="21">
        <v>0.118799102132435</v>
      </c>
      <c r="N375" s="21">
        <v>5.8361391694725E-3</v>
      </c>
      <c r="O375">
        <v>4234</v>
      </c>
      <c r="P375" t="s">
        <v>44</v>
      </c>
      <c r="Q37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75" s="22">
        <f>_xlfn.XLOOKUP(TBL_Post_1[[#This Row],[Campaign_Name]],TBL_Campaign_Data_1[Campaign_Name],TBL_Campaign_Data_1[Start_Date])</f>
        <v>45667</v>
      </c>
      <c r="S375" s="22">
        <f>_xlfn.XLOOKUP(TBL_Post_1[[#This Row],[Campaign_Name]],TBL_Campaign_Data_1[Campaign_Name],TBL_Campaign_Data_1[End_Date])</f>
        <v>45698</v>
      </c>
    </row>
    <row r="376" spans="1:19">
      <c r="A376" t="s">
        <v>475</v>
      </c>
      <c r="B376" t="s">
        <v>40</v>
      </c>
      <c r="C376" s="22">
        <v>45531</v>
      </c>
      <c r="D376" t="s">
        <v>16</v>
      </c>
      <c r="E376" t="s">
        <v>17</v>
      </c>
      <c r="F376">
        <v>3960</v>
      </c>
      <c r="G376">
        <v>266</v>
      </c>
      <c r="H376">
        <v>8</v>
      </c>
      <c r="I376">
        <v>35640</v>
      </c>
      <c r="J376">
        <v>34850</v>
      </c>
      <c r="K376">
        <v>208</v>
      </c>
      <c r="L376" t="s">
        <v>55</v>
      </c>
      <c r="M376" s="21">
        <v>0.118799102132435</v>
      </c>
      <c r="N376" s="21">
        <v>5.8361391694725E-3</v>
      </c>
      <c r="O376">
        <v>4234</v>
      </c>
      <c r="P376" t="s">
        <v>24</v>
      </c>
      <c r="Q37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76" s="22">
        <f>_xlfn.XLOOKUP(TBL_Post_1[[#This Row],[Campaign_Name]],TBL_Campaign_Data_1[Campaign_Name],TBL_Campaign_Data_1[Start_Date])</f>
        <v>45667</v>
      </c>
      <c r="S376" s="22">
        <f>_xlfn.XLOOKUP(TBL_Post_1[[#This Row],[Campaign_Name]],TBL_Campaign_Data_1[Campaign_Name],TBL_Campaign_Data_1[End_Date])</f>
        <v>45698</v>
      </c>
    </row>
    <row r="377" spans="1:19">
      <c r="A377" t="s">
        <v>477</v>
      </c>
      <c r="B377" t="s">
        <v>40</v>
      </c>
      <c r="C377" s="22">
        <v>45690</v>
      </c>
      <c r="D377" t="s">
        <v>33</v>
      </c>
      <c r="E377" t="s">
        <v>34</v>
      </c>
      <c r="F377">
        <v>886</v>
      </c>
      <c r="G377">
        <v>126</v>
      </c>
      <c r="H377">
        <v>153</v>
      </c>
      <c r="I377">
        <v>4430</v>
      </c>
      <c r="J377">
        <v>4037</v>
      </c>
      <c r="K377">
        <v>212</v>
      </c>
      <c r="L377" t="s">
        <v>38</v>
      </c>
      <c r="M377" s="21">
        <v>0.26297968397291199</v>
      </c>
      <c r="N377" s="21">
        <v>4.7855530474040599E-2</v>
      </c>
      <c r="O377">
        <v>1165</v>
      </c>
      <c r="P377" t="s">
        <v>18</v>
      </c>
      <c r="Q37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77" s="22">
        <f>_xlfn.XLOOKUP(TBL_Post_1[[#This Row],[Campaign_Name]],TBL_Campaign_Data_1[Campaign_Name],TBL_Campaign_Data_1[Start_Date])</f>
        <v>45570</v>
      </c>
      <c r="S377" s="22">
        <f>_xlfn.XLOOKUP(TBL_Post_1[[#This Row],[Campaign_Name]],TBL_Campaign_Data_1[Campaign_Name],TBL_Campaign_Data_1[End_Date])</f>
        <v>45601</v>
      </c>
    </row>
    <row r="378" spans="1:19">
      <c r="A378" t="s">
        <v>478</v>
      </c>
      <c r="B378" t="s">
        <v>14</v>
      </c>
      <c r="C378" s="22">
        <v>45491</v>
      </c>
      <c r="D378" t="s">
        <v>49</v>
      </c>
      <c r="E378" t="s">
        <v>50</v>
      </c>
      <c r="F378">
        <v>827</v>
      </c>
      <c r="G378">
        <v>77</v>
      </c>
      <c r="H378">
        <v>402</v>
      </c>
      <c r="I378">
        <v>14886</v>
      </c>
      <c r="J378">
        <v>14129</v>
      </c>
      <c r="K378">
        <v>254</v>
      </c>
      <c r="L378" t="s">
        <v>25</v>
      </c>
      <c r="M378" s="21">
        <v>8.7733440816874897E-2</v>
      </c>
      <c r="N378" s="21">
        <v>1.7063012226252901E-2</v>
      </c>
      <c r="O378">
        <v>1306</v>
      </c>
      <c r="P378" t="s">
        <v>58</v>
      </c>
      <c r="Q37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78" s="22">
        <f>_xlfn.XLOOKUP(TBL_Post_1[[#This Row],[Campaign_Name]],TBL_Campaign_Data_1[Campaign_Name],TBL_Campaign_Data_1[Start_Date])</f>
        <v>45453</v>
      </c>
      <c r="S378" s="22">
        <f>_xlfn.XLOOKUP(TBL_Post_1[[#This Row],[Campaign_Name]],TBL_Campaign_Data_1[Campaign_Name],TBL_Campaign_Data_1[End_Date])</f>
        <v>45478</v>
      </c>
    </row>
    <row r="379" spans="1:19">
      <c r="A379" t="s">
        <v>479</v>
      </c>
      <c r="B379" t="s">
        <v>40</v>
      </c>
      <c r="C379" s="22">
        <v>45465</v>
      </c>
      <c r="D379" t="s">
        <v>16</v>
      </c>
      <c r="E379" t="s">
        <v>17</v>
      </c>
      <c r="F379">
        <v>3813</v>
      </c>
      <c r="G379">
        <v>935</v>
      </c>
      <c r="H379">
        <v>274</v>
      </c>
      <c r="I379">
        <v>68634</v>
      </c>
      <c r="J379">
        <v>68488</v>
      </c>
      <c r="K379">
        <v>251</v>
      </c>
      <c r="L379" t="s">
        <v>19</v>
      </c>
      <c r="M379" s="21">
        <v>7.3170731707317097E-2</v>
      </c>
      <c r="N379" s="21">
        <v>3.6570795815485E-3</v>
      </c>
      <c r="O379">
        <v>5022</v>
      </c>
      <c r="P379" t="s">
        <v>77</v>
      </c>
      <c r="Q37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79" s="22">
        <f>_xlfn.XLOOKUP(TBL_Post_1[[#This Row],[Campaign_Name]],TBL_Campaign_Data_1[Campaign_Name],TBL_Campaign_Data_1[Start_Date])</f>
        <v>45505</v>
      </c>
      <c r="S379" s="22">
        <f>_xlfn.XLOOKUP(TBL_Post_1[[#This Row],[Campaign_Name]],TBL_Campaign_Data_1[Campaign_Name],TBL_Campaign_Data_1[End_Date])</f>
        <v>45535</v>
      </c>
    </row>
    <row r="380" spans="1:19">
      <c r="A380" t="s">
        <v>479</v>
      </c>
      <c r="B380" t="s">
        <v>40</v>
      </c>
      <c r="C380" s="22">
        <v>45465</v>
      </c>
      <c r="D380" t="s">
        <v>16</v>
      </c>
      <c r="E380" t="s">
        <v>17</v>
      </c>
      <c r="F380">
        <v>3813</v>
      </c>
      <c r="G380">
        <v>935</v>
      </c>
      <c r="H380">
        <v>274</v>
      </c>
      <c r="I380">
        <v>68634</v>
      </c>
      <c r="J380">
        <v>68488</v>
      </c>
      <c r="K380">
        <v>251</v>
      </c>
      <c r="L380" t="s">
        <v>19</v>
      </c>
      <c r="M380" s="21">
        <v>7.3170731707317097E-2</v>
      </c>
      <c r="N380" s="21">
        <v>3.6570795815485E-3</v>
      </c>
      <c r="O380">
        <v>5022</v>
      </c>
      <c r="P380" t="s">
        <v>44</v>
      </c>
      <c r="Q38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80" s="22">
        <f>_xlfn.XLOOKUP(TBL_Post_1[[#This Row],[Campaign_Name]],TBL_Campaign_Data_1[Campaign_Name],TBL_Campaign_Data_1[Start_Date])</f>
        <v>45505</v>
      </c>
      <c r="S380" s="22">
        <f>_xlfn.XLOOKUP(TBL_Post_1[[#This Row],[Campaign_Name]],TBL_Campaign_Data_1[Campaign_Name],TBL_Campaign_Data_1[End_Date])</f>
        <v>45535</v>
      </c>
    </row>
    <row r="381" spans="1:19">
      <c r="A381" t="s">
        <v>480</v>
      </c>
      <c r="B381" t="s">
        <v>31</v>
      </c>
      <c r="C381" s="22">
        <v>45743</v>
      </c>
      <c r="D381" t="s">
        <v>42</v>
      </c>
      <c r="E381" t="s">
        <v>43</v>
      </c>
      <c r="F381">
        <v>1377</v>
      </c>
      <c r="G381">
        <v>796</v>
      </c>
      <c r="H381">
        <v>387</v>
      </c>
      <c r="I381">
        <v>22032</v>
      </c>
      <c r="J381">
        <v>21869</v>
      </c>
      <c r="K381">
        <v>189</v>
      </c>
      <c r="L381" t="s">
        <v>38</v>
      </c>
      <c r="M381" s="21">
        <v>0.116194625998548</v>
      </c>
      <c r="N381" s="21">
        <v>8.5784313725490204E-3</v>
      </c>
      <c r="O381">
        <v>2560</v>
      </c>
      <c r="P381" t="s">
        <v>77</v>
      </c>
      <c r="Q38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81" s="22">
        <f>_xlfn.XLOOKUP(TBL_Post_1[[#This Row],[Campaign_Name]],TBL_Campaign_Data_1[Campaign_Name],TBL_Campaign_Data_1[Start_Date])</f>
        <v>45570</v>
      </c>
      <c r="S381" s="22">
        <f>_xlfn.XLOOKUP(TBL_Post_1[[#This Row],[Campaign_Name]],TBL_Campaign_Data_1[Campaign_Name],TBL_Campaign_Data_1[End_Date])</f>
        <v>45601</v>
      </c>
    </row>
    <row r="382" spans="1:19">
      <c r="A382" t="s">
        <v>480</v>
      </c>
      <c r="B382" t="s">
        <v>31</v>
      </c>
      <c r="C382" s="22">
        <v>45743</v>
      </c>
      <c r="D382" t="s">
        <v>42</v>
      </c>
      <c r="E382" t="s">
        <v>43</v>
      </c>
      <c r="F382">
        <v>1377</v>
      </c>
      <c r="G382">
        <v>796</v>
      </c>
      <c r="H382">
        <v>387</v>
      </c>
      <c r="I382">
        <v>22032</v>
      </c>
      <c r="J382">
        <v>21869</v>
      </c>
      <c r="K382">
        <v>189</v>
      </c>
      <c r="L382" t="s">
        <v>38</v>
      </c>
      <c r="M382" s="21">
        <v>0.116194625998548</v>
      </c>
      <c r="N382" s="21">
        <v>8.5784313725490204E-3</v>
      </c>
      <c r="O382">
        <v>2560</v>
      </c>
      <c r="P382" t="s">
        <v>24</v>
      </c>
      <c r="Q38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82" s="22">
        <f>_xlfn.XLOOKUP(TBL_Post_1[[#This Row],[Campaign_Name]],TBL_Campaign_Data_1[Campaign_Name],TBL_Campaign_Data_1[Start_Date])</f>
        <v>45570</v>
      </c>
      <c r="S382" s="22">
        <f>_xlfn.XLOOKUP(TBL_Post_1[[#This Row],[Campaign_Name]],TBL_Campaign_Data_1[Campaign_Name],TBL_Campaign_Data_1[End_Date])</f>
        <v>45601</v>
      </c>
    </row>
    <row r="383" spans="1:19">
      <c r="A383" t="s">
        <v>482</v>
      </c>
      <c r="B383" t="s">
        <v>40</v>
      </c>
      <c r="C383" s="22">
        <v>45775</v>
      </c>
      <c r="D383" t="s">
        <v>42</v>
      </c>
      <c r="E383" t="s">
        <v>43</v>
      </c>
      <c r="F383">
        <v>2089</v>
      </c>
      <c r="G383">
        <v>476</v>
      </c>
      <c r="H383">
        <v>69</v>
      </c>
      <c r="I383">
        <v>16712</v>
      </c>
      <c r="J383">
        <v>16309</v>
      </c>
      <c r="K383">
        <v>64</v>
      </c>
      <c r="L383" t="s">
        <v>19</v>
      </c>
      <c r="M383" s="21">
        <v>0.15761129727142201</v>
      </c>
      <c r="N383" s="21">
        <v>3.8295835327908099E-3</v>
      </c>
      <c r="O383">
        <v>2634</v>
      </c>
      <c r="P383" t="s">
        <v>58</v>
      </c>
      <c r="Q38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83" s="22">
        <f>_xlfn.XLOOKUP(TBL_Post_1[[#This Row],[Campaign_Name]],TBL_Campaign_Data_1[Campaign_Name],TBL_Campaign_Data_1[Start_Date])</f>
        <v>45505</v>
      </c>
      <c r="S383" s="22">
        <f>_xlfn.XLOOKUP(TBL_Post_1[[#This Row],[Campaign_Name]],TBL_Campaign_Data_1[Campaign_Name],TBL_Campaign_Data_1[End_Date])</f>
        <v>45535</v>
      </c>
    </row>
    <row r="384" spans="1:19">
      <c r="A384" t="s">
        <v>482</v>
      </c>
      <c r="B384" t="s">
        <v>40</v>
      </c>
      <c r="C384" s="22">
        <v>45775</v>
      </c>
      <c r="D384" t="s">
        <v>42</v>
      </c>
      <c r="E384" t="s">
        <v>43</v>
      </c>
      <c r="F384">
        <v>2089</v>
      </c>
      <c r="G384">
        <v>476</v>
      </c>
      <c r="H384">
        <v>69</v>
      </c>
      <c r="I384">
        <v>16712</v>
      </c>
      <c r="J384">
        <v>16309</v>
      </c>
      <c r="K384">
        <v>64</v>
      </c>
      <c r="L384" t="s">
        <v>19</v>
      </c>
      <c r="M384" s="21">
        <v>0.15761129727142201</v>
      </c>
      <c r="N384" s="21">
        <v>3.8295835327908099E-3</v>
      </c>
      <c r="O384">
        <v>2634</v>
      </c>
      <c r="P384" t="s">
        <v>18</v>
      </c>
      <c r="Q38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84" s="22">
        <f>_xlfn.XLOOKUP(TBL_Post_1[[#This Row],[Campaign_Name]],TBL_Campaign_Data_1[Campaign_Name],TBL_Campaign_Data_1[Start_Date])</f>
        <v>45505</v>
      </c>
      <c r="S384" s="22">
        <f>_xlfn.XLOOKUP(TBL_Post_1[[#This Row],[Campaign_Name]],TBL_Campaign_Data_1[Campaign_Name],TBL_Campaign_Data_1[End_Date])</f>
        <v>45535</v>
      </c>
    </row>
    <row r="385" spans="1:19">
      <c r="A385" t="s">
        <v>483</v>
      </c>
      <c r="B385" t="s">
        <v>14</v>
      </c>
      <c r="C385" s="22">
        <v>45507</v>
      </c>
      <c r="D385" t="s">
        <v>16</v>
      </c>
      <c r="E385" t="s">
        <v>17</v>
      </c>
      <c r="F385">
        <v>3791</v>
      </c>
      <c r="G385">
        <v>593</v>
      </c>
      <c r="H385">
        <v>228</v>
      </c>
      <c r="I385">
        <v>53074</v>
      </c>
      <c r="J385">
        <v>52613</v>
      </c>
      <c r="K385">
        <v>205</v>
      </c>
      <c r="L385" t="s">
        <v>19</v>
      </c>
      <c r="M385" s="21">
        <v>8.6897539284772202E-2</v>
      </c>
      <c r="N385" s="21">
        <v>3.8625315597090801E-3</v>
      </c>
      <c r="O385">
        <v>4612</v>
      </c>
      <c r="P385" t="s">
        <v>58</v>
      </c>
      <c r="Q38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85" s="22">
        <f>_xlfn.XLOOKUP(TBL_Post_1[[#This Row],[Campaign_Name]],TBL_Campaign_Data_1[Campaign_Name],TBL_Campaign_Data_1[Start_Date])</f>
        <v>45505</v>
      </c>
      <c r="S385" s="22">
        <f>_xlfn.XLOOKUP(TBL_Post_1[[#This Row],[Campaign_Name]],TBL_Campaign_Data_1[Campaign_Name],TBL_Campaign_Data_1[End_Date])</f>
        <v>45535</v>
      </c>
    </row>
    <row r="386" spans="1:19">
      <c r="A386" t="s">
        <v>483</v>
      </c>
      <c r="B386" t="s">
        <v>14</v>
      </c>
      <c r="C386" s="22">
        <v>45507</v>
      </c>
      <c r="D386" t="s">
        <v>16</v>
      </c>
      <c r="E386" t="s">
        <v>17</v>
      </c>
      <c r="F386">
        <v>3791</v>
      </c>
      <c r="G386">
        <v>593</v>
      </c>
      <c r="H386">
        <v>228</v>
      </c>
      <c r="I386">
        <v>53074</v>
      </c>
      <c r="J386">
        <v>52613</v>
      </c>
      <c r="K386">
        <v>205</v>
      </c>
      <c r="L386" t="s">
        <v>19</v>
      </c>
      <c r="M386" s="21">
        <v>8.6897539284772202E-2</v>
      </c>
      <c r="N386" s="21">
        <v>3.8625315597090801E-3</v>
      </c>
      <c r="O386">
        <v>4612</v>
      </c>
      <c r="P386" t="s">
        <v>77</v>
      </c>
      <c r="Q38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86" s="22">
        <f>_xlfn.XLOOKUP(TBL_Post_1[[#This Row],[Campaign_Name]],TBL_Campaign_Data_1[Campaign_Name],TBL_Campaign_Data_1[Start_Date])</f>
        <v>45505</v>
      </c>
      <c r="S386" s="22">
        <f>_xlfn.XLOOKUP(TBL_Post_1[[#This Row],[Campaign_Name]],TBL_Campaign_Data_1[Campaign_Name],TBL_Campaign_Data_1[End_Date])</f>
        <v>45535</v>
      </c>
    </row>
    <row r="387" spans="1:19">
      <c r="A387" t="s">
        <v>485</v>
      </c>
      <c r="B387" t="s">
        <v>14</v>
      </c>
      <c r="C387" s="22">
        <v>45671</v>
      </c>
      <c r="D387" t="s">
        <v>49</v>
      </c>
      <c r="E387" t="s">
        <v>50</v>
      </c>
      <c r="F387">
        <v>2692</v>
      </c>
      <c r="G387">
        <v>115</v>
      </c>
      <c r="H387">
        <v>64</v>
      </c>
      <c r="I387">
        <v>21536</v>
      </c>
      <c r="J387">
        <v>21120</v>
      </c>
      <c r="K387">
        <v>224</v>
      </c>
      <c r="L387" t="s">
        <v>55</v>
      </c>
      <c r="M387" s="21">
        <v>0.133311664190193</v>
      </c>
      <c r="N387" s="21">
        <v>1.04011887072808E-2</v>
      </c>
      <c r="O387">
        <v>2871</v>
      </c>
      <c r="P387" t="s">
        <v>77</v>
      </c>
      <c r="Q38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87" s="22">
        <f>_xlfn.XLOOKUP(TBL_Post_1[[#This Row],[Campaign_Name]],TBL_Campaign_Data_1[Campaign_Name],TBL_Campaign_Data_1[Start_Date])</f>
        <v>45667</v>
      </c>
      <c r="S387" s="22">
        <f>_xlfn.XLOOKUP(TBL_Post_1[[#This Row],[Campaign_Name]],TBL_Campaign_Data_1[Campaign_Name],TBL_Campaign_Data_1[End_Date])</f>
        <v>45698</v>
      </c>
    </row>
    <row r="388" spans="1:19">
      <c r="A388" t="s">
        <v>485</v>
      </c>
      <c r="B388" t="s">
        <v>14</v>
      </c>
      <c r="C388" s="22">
        <v>45671</v>
      </c>
      <c r="D388" t="s">
        <v>49</v>
      </c>
      <c r="E388" t="s">
        <v>50</v>
      </c>
      <c r="F388">
        <v>2692</v>
      </c>
      <c r="G388">
        <v>115</v>
      </c>
      <c r="H388">
        <v>64</v>
      </c>
      <c r="I388">
        <v>21536</v>
      </c>
      <c r="J388">
        <v>21120</v>
      </c>
      <c r="K388">
        <v>224</v>
      </c>
      <c r="L388" t="s">
        <v>55</v>
      </c>
      <c r="M388" s="21">
        <v>0.133311664190193</v>
      </c>
      <c r="N388" s="21">
        <v>1.04011887072808E-2</v>
      </c>
      <c r="O388">
        <v>2871</v>
      </c>
      <c r="P388" t="s">
        <v>44</v>
      </c>
      <c r="Q38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88" s="22">
        <f>_xlfn.XLOOKUP(TBL_Post_1[[#This Row],[Campaign_Name]],TBL_Campaign_Data_1[Campaign_Name],TBL_Campaign_Data_1[Start_Date])</f>
        <v>45667</v>
      </c>
      <c r="S388" s="22">
        <f>_xlfn.XLOOKUP(TBL_Post_1[[#This Row],[Campaign_Name]],TBL_Campaign_Data_1[Campaign_Name],TBL_Campaign_Data_1[End_Date])</f>
        <v>45698</v>
      </c>
    </row>
    <row r="389" spans="1:19">
      <c r="A389" t="s">
        <v>487</v>
      </c>
      <c r="B389" t="s">
        <v>40</v>
      </c>
      <c r="C389" s="22">
        <v>45750</v>
      </c>
      <c r="D389" t="s">
        <v>33</v>
      </c>
      <c r="E389" t="s">
        <v>34</v>
      </c>
      <c r="F389">
        <v>3767</v>
      </c>
      <c r="G389">
        <v>514</v>
      </c>
      <c r="H389">
        <v>238</v>
      </c>
      <c r="I389">
        <v>37670</v>
      </c>
      <c r="J389">
        <v>36807</v>
      </c>
      <c r="K389">
        <v>226</v>
      </c>
      <c r="L389" t="s">
        <v>19</v>
      </c>
      <c r="M389" s="21">
        <v>0.119962835147332</v>
      </c>
      <c r="N389" s="21">
        <v>5.9994690735333204E-3</v>
      </c>
      <c r="O389">
        <v>4519</v>
      </c>
      <c r="P389" t="s">
        <v>58</v>
      </c>
      <c r="Q38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89" s="22">
        <f>_xlfn.XLOOKUP(TBL_Post_1[[#This Row],[Campaign_Name]],TBL_Campaign_Data_1[Campaign_Name],TBL_Campaign_Data_1[Start_Date])</f>
        <v>45505</v>
      </c>
      <c r="S389" s="22">
        <f>_xlfn.XLOOKUP(TBL_Post_1[[#This Row],[Campaign_Name]],TBL_Campaign_Data_1[Campaign_Name],TBL_Campaign_Data_1[End_Date])</f>
        <v>45535</v>
      </c>
    </row>
    <row r="390" spans="1:19">
      <c r="A390" t="s">
        <v>487</v>
      </c>
      <c r="B390" t="s">
        <v>40</v>
      </c>
      <c r="C390" s="22">
        <v>45750</v>
      </c>
      <c r="D390" t="s">
        <v>33</v>
      </c>
      <c r="E390" t="s">
        <v>34</v>
      </c>
      <c r="F390">
        <v>3767</v>
      </c>
      <c r="G390">
        <v>514</v>
      </c>
      <c r="H390">
        <v>238</v>
      </c>
      <c r="I390">
        <v>37670</v>
      </c>
      <c r="J390">
        <v>36807</v>
      </c>
      <c r="K390">
        <v>226</v>
      </c>
      <c r="L390" t="s">
        <v>19</v>
      </c>
      <c r="M390" s="21">
        <v>0.119962835147332</v>
      </c>
      <c r="N390" s="21">
        <v>5.9994690735333204E-3</v>
      </c>
      <c r="O390">
        <v>4519</v>
      </c>
      <c r="P390" t="s">
        <v>77</v>
      </c>
      <c r="Q39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90" s="22">
        <f>_xlfn.XLOOKUP(TBL_Post_1[[#This Row],[Campaign_Name]],TBL_Campaign_Data_1[Campaign_Name],TBL_Campaign_Data_1[Start_Date])</f>
        <v>45505</v>
      </c>
      <c r="S390" s="22">
        <f>_xlfn.XLOOKUP(TBL_Post_1[[#This Row],[Campaign_Name]],TBL_Campaign_Data_1[Campaign_Name],TBL_Campaign_Data_1[End_Date])</f>
        <v>45535</v>
      </c>
    </row>
    <row r="391" spans="1:19">
      <c r="A391" t="s">
        <v>488</v>
      </c>
      <c r="B391" t="s">
        <v>27</v>
      </c>
      <c r="C391" s="22">
        <v>45553</v>
      </c>
      <c r="D391" t="s">
        <v>42</v>
      </c>
      <c r="E391" t="s">
        <v>43</v>
      </c>
      <c r="F391">
        <v>2143</v>
      </c>
      <c r="G391">
        <v>12</v>
      </c>
      <c r="H391">
        <v>204</v>
      </c>
      <c r="I391">
        <v>40717</v>
      </c>
      <c r="J391">
        <v>40125</v>
      </c>
      <c r="K391">
        <v>248</v>
      </c>
      <c r="L391" t="s">
        <v>55</v>
      </c>
      <c r="M391" s="21">
        <v>5.7936488444630001E-2</v>
      </c>
      <c r="N391" s="21">
        <v>6.0908220153744102E-3</v>
      </c>
      <c r="O391">
        <v>2359</v>
      </c>
      <c r="P391" t="s">
        <v>77</v>
      </c>
      <c r="Q39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91" s="22">
        <f>_xlfn.XLOOKUP(TBL_Post_1[[#This Row],[Campaign_Name]],TBL_Campaign_Data_1[Campaign_Name],TBL_Campaign_Data_1[Start_Date])</f>
        <v>45667</v>
      </c>
      <c r="S391" s="22">
        <f>_xlfn.XLOOKUP(TBL_Post_1[[#This Row],[Campaign_Name]],TBL_Campaign_Data_1[Campaign_Name],TBL_Campaign_Data_1[End_Date])</f>
        <v>45698</v>
      </c>
    </row>
    <row r="392" spans="1:19">
      <c r="A392" t="s">
        <v>488</v>
      </c>
      <c r="B392" t="s">
        <v>27</v>
      </c>
      <c r="C392" s="22">
        <v>45553</v>
      </c>
      <c r="D392" t="s">
        <v>42</v>
      </c>
      <c r="E392" t="s">
        <v>43</v>
      </c>
      <c r="F392">
        <v>2143</v>
      </c>
      <c r="G392">
        <v>12</v>
      </c>
      <c r="H392">
        <v>204</v>
      </c>
      <c r="I392">
        <v>40717</v>
      </c>
      <c r="J392">
        <v>40125</v>
      </c>
      <c r="K392">
        <v>248</v>
      </c>
      <c r="L392" t="s">
        <v>55</v>
      </c>
      <c r="M392" s="21">
        <v>5.7936488444630001E-2</v>
      </c>
      <c r="N392" s="21">
        <v>6.0908220153744102E-3</v>
      </c>
      <c r="O392">
        <v>2359</v>
      </c>
      <c r="P392" t="s">
        <v>18</v>
      </c>
      <c r="Q39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92" s="22">
        <f>_xlfn.XLOOKUP(TBL_Post_1[[#This Row],[Campaign_Name]],TBL_Campaign_Data_1[Campaign_Name],TBL_Campaign_Data_1[Start_Date])</f>
        <v>45667</v>
      </c>
      <c r="S392" s="22">
        <f>_xlfn.XLOOKUP(TBL_Post_1[[#This Row],[Campaign_Name]],TBL_Campaign_Data_1[Campaign_Name],TBL_Campaign_Data_1[End_Date])</f>
        <v>45698</v>
      </c>
    </row>
    <row r="393" spans="1:19">
      <c r="A393" t="s">
        <v>489</v>
      </c>
      <c r="B393" t="s">
        <v>40</v>
      </c>
      <c r="C393" s="22">
        <v>45753</v>
      </c>
      <c r="D393" t="s">
        <v>49</v>
      </c>
      <c r="E393" t="s">
        <v>50</v>
      </c>
      <c r="F393">
        <v>3090</v>
      </c>
      <c r="G393">
        <v>697</v>
      </c>
      <c r="H393">
        <v>164</v>
      </c>
      <c r="I393">
        <v>49440</v>
      </c>
      <c r="J393">
        <v>48524</v>
      </c>
      <c r="K393">
        <v>25</v>
      </c>
      <c r="L393" t="s">
        <v>55</v>
      </c>
      <c r="M393" s="21">
        <v>7.9915048543689304E-2</v>
      </c>
      <c r="N393" s="21">
        <v>5.0566343042071204E-4</v>
      </c>
      <c r="O393">
        <v>3951</v>
      </c>
      <c r="P393" t="s">
        <v>77</v>
      </c>
      <c r="Q39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93" s="22">
        <f>_xlfn.XLOOKUP(TBL_Post_1[[#This Row],[Campaign_Name]],TBL_Campaign_Data_1[Campaign_Name],TBL_Campaign_Data_1[Start_Date])</f>
        <v>45667</v>
      </c>
      <c r="S393" s="22">
        <f>_xlfn.XLOOKUP(TBL_Post_1[[#This Row],[Campaign_Name]],TBL_Campaign_Data_1[Campaign_Name],TBL_Campaign_Data_1[End_Date])</f>
        <v>45698</v>
      </c>
    </row>
    <row r="394" spans="1:19">
      <c r="A394" t="s">
        <v>489</v>
      </c>
      <c r="B394" t="s">
        <v>40</v>
      </c>
      <c r="C394" s="22">
        <v>45753</v>
      </c>
      <c r="D394" t="s">
        <v>49</v>
      </c>
      <c r="E394" t="s">
        <v>50</v>
      </c>
      <c r="F394">
        <v>3090</v>
      </c>
      <c r="G394">
        <v>697</v>
      </c>
      <c r="H394">
        <v>164</v>
      </c>
      <c r="I394">
        <v>49440</v>
      </c>
      <c r="J394">
        <v>48524</v>
      </c>
      <c r="K394">
        <v>25</v>
      </c>
      <c r="L394" t="s">
        <v>55</v>
      </c>
      <c r="M394" s="21">
        <v>7.9915048543689304E-2</v>
      </c>
      <c r="N394" s="21">
        <v>5.0566343042071204E-4</v>
      </c>
      <c r="O394">
        <v>3951</v>
      </c>
      <c r="P394" t="s">
        <v>58</v>
      </c>
      <c r="Q39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94" s="22">
        <f>_xlfn.XLOOKUP(TBL_Post_1[[#This Row],[Campaign_Name]],TBL_Campaign_Data_1[Campaign_Name],TBL_Campaign_Data_1[Start_Date])</f>
        <v>45667</v>
      </c>
      <c r="S394" s="22">
        <f>_xlfn.XLOOKUP(TBL_Post_1[[#This Row],[Campaign_Name]],TBL_Campaign_Data_1[Campaign_Name],TBL_Campaign_Data_1[End_Date])</f>
        <v>45698</v>
      </c>
    </row>
    <row r="395" spans="1:19">
      <c r="A395" t="s">
        <v>490</v>
      </c>
      <c r="B395" t="s">
        <v>31</v>
      </c>
      <c r="C395" s="22">
        <v>45509</v>
      </c>
      <c r="D395" t="s">
        <v>33</v>
      </c>
      <c r="E395" t="s">
        <v>34</v>
      </c>
      <c r="F395">
        <v>3601</v>
      </c>
      <c r="G395">
        <v>695</v>
      </c>
      <c r="H395">
        <v>75</v>
      </c>
      <c r="I395">
        <v>21606</v>
      </c>
      <c r="J395">
        <v>21454</v>
      </c>
      <c r="K395">
        <v>172</v>
      </c>
      <c r="L395" t="s">
        <v>25</v>
      </c>
      <c r="M395" s="21">
        <v>0.20230491530130501</v>
      </c>
      <c r="N395" s="21">
        <v>7.9607516430621108E-3</v>
      </c>
      <c r="O395">
        <v>4371</v>
      </c>
      <c r="P395" t="s">
        <v>58</v>
      </c>
      <c r="Q39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95" s="22">
        <f>_xlfn.XLOOKUP(TBL_Post_1[[#This Row],[Campaign_Name]],TBL_Campaign_Data_1[Campaign_Name],TBL_Campaign_Data_1[Start_Date])</f>
        <v>45453</v>
      </c>
      <c r="S395" s="22">
        <f>_xlfn.XLOOKUP(TBL_Post_1[[#This Row],[Campaign_Name]],TBL_Campaign_Data_1[Campaign_Name],TBL_Campaign_Data_1[End_Date])</f>
        <v>45478</v>
      </c>
    </row>
    <row r="396" spans="1:19">
      <c r="A396" t="s">
        <v>492</v>
      </c>
      <c r="B396" t="s">
        <v>40</v>
      </c>
      <c r="C396" s="22">
        <v>45698</v>
      </c>
      <c r="D396" t="s">
        <v>22</v>
      </c>
      <c r="E396" t="s">
        <v>23</v>
      </c>
      <c r="F396">
        <v>562</v>
      </c>
      <c r="G396">
        <v>158</v>
      </c>
      <c r="H396">
        <v>149</v>
      </c>
      <c r="I396">
        <v>3372</v>
      </c>
      <c r="J396">
        <v>2940</v>
      </c>
      <c r="K396">
        <v>93</v>
      </c>
      <c r="L396" t="s">
        <v>55</v>
      </c>
      <c r="M396" s="21">
        <v>0.25771055753262201</v>
      </c>
      <c r="N396" s="21">
        <v>2.7580071174377201E-2</v>
      </c>
      <c r="O396">
        <v>869</v>
      </c>
      <c r="P396" t="s">
        <v>77</v>
      </c>
      <c r="Q39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96" s="22">
        <f>_xlfn.XLOOKUP(TBL_Post_1[[#This Row],[Campaign_Name]],TBL_Campaign_Data_1[Campaign_Name],TBL_Campaign_Data_1[Start_Date])</f>
        <v>45667</v>
      </c>
      <c r="S396" s="22">
        <f>_xlfn.XLOOKUP(TBL_Post_1[[#This Row],[Campaign_Name]],TBL_Campaign_Data_1[Campaign_Name],TBL_Campaign_Data_1[End_Date])</f>
        <v>45698</v>
      </c>
    </row>
    <row r="397" spans="1:19">
      <c r="A397" t="s">
        <v>492</v>
      </c>
      <c r="B397" t="s">
        <v>40</v>
      </c>
      <c r="C397" s="22">
        <v>45698</v>
      </c>
      <c r="D397" t="s">
        <v>22</v>
      </c>
      <c r="E397" t="s">
        <v>23</v>
      </c>
      <c r="F397">
        <v>562</v>
      </c>
      <c r="G397">
        <v>158</v>
      </c>
      <c r="H397">
        <v>149</v>
      </c>
      <c r="I397">
        <v>3372</v>
      </c>
      <c r="J397">
        <v>2940</v>
      </c>
      <c r="K397">
        <v>93</v>
      </c>
      <c r="L397" t="s">
        <v>55</v>
      </c>
      <c r="M397" s="21">
        <v>0.25771055753262201</v>
      </c>
      <c r="N397" s="21">
        <v>2.7580071174377201E-2</v>
      </c>
      <c r="O397">
        <v>869</v>
      </c>
      <c r="P397" t="s">
        <v>18</v>
      </c>
      <c r="Q39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397" s="22">
        <f>_xlfn.XLOOKUP(TBL_Post_1[[#This Row],[Campaign_Name]],TBL_Campaign_Data_1[Campaign_Name],TBL_Campaign_Data_1[Start_Date])</f>
        <v>45667</v>
      </c>
      <c r="S397" s="22">
        <f>_xlfn.XLOOKUP(TBL_Post_1[[#This Row],[Campaign_Name]],TBL_Campaign_Data_1[Campaign_Name],TBL_Campaign_Data_1[End_Date])</f>
        <v>45698</v>
      </c>
    </row>
    <row r="398" spans="1:19">
      <c r="A398" t="s">
        <v>493</v>
      </c>
      <c r="B398" t="s">
        <v>31</v>
      </c>
      <c r="C398" s="22">
        <v>45700</v>
      </c>
      <c r="D398" t="s">
        <v>33</v>
      </c>
      <c r="E398" t="s">
        <v>34</v>
      </c>
      <c r="F398">
        <v>4332</v>
      </c>
      <c r="G398">
        <v>771</v>
      </c>
      <c r="H398">
        <v>219</v>
      </c>
      <c r="I398">
        <v>60648</v>
      </c>
      <c r="J398">
        <v>60397</v>
      </c>
      <c r="K398">
        <v>10</v>
      </c>
      <c r="L398" t="s">
        <v>38</v>
      </c>
      <c r="M398" s="21">
        <v>8.7752275425405604E-2</v>
      </c>
      <c r="N398" s="21">
        <v>1.6488589895792099E-4</v>
      </c>
      <c r="O398">
        <v>5322</v>
      </c>
      <c r="P398" t="s">
        <v>24</v>
      </c>
      <c r="Q39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98" s="22">
        <f>_xlfn.XLOOKUP(TBL_Post_1[[#This Row],[Campaign_Name]],TBL_Campaign_Data_1[Campaign_Name],TBL_Campaign_Data_1[Start_Date])</f>
        <v>45570</v>
      </c>
      <c r="S398" s="22">
        <f>_xlfn.XLOOKUP(TBL_Post_1[[#This Row],[Campaign_Name]],TBL_Campaign_Data_1[Campaign_Name],TBL_Campaign_Data_1[End_Date])</f>
        <v>45601</v>
      </c>
    </row>
    <row r="399" spans="1:19">
      <c r="A399" t="s">
        <v>495</v>
      </c>
      <c r="B399" t="s">
        <v>31</v>
      </c>
      <c r="C399" s="22">
        <v>45592</v>
      </c>
      <c r="D399" t="s">
        <v>49</v>
      </c>
      <c r="E399" t="s">
        <v>50</v>
      </c>
      <c r="F399">
        <v>4853</v>
      </c>
      <c r="G399">
        <v>837</v>
      </c>
      <c r="H399">
        <v>340</v>
      </c>
      <c r="I399">
        <v>72795</v>
      </c>
      <c r="J399">
        <v>72237</v>
      </c>
      <c r="K399">
        <v>170</v>
      </c>
      <c r="L399" t="s">
        <v>25</v>
      </c>
      <c r="M399" s="21">
        <v>8.2835359571399106E-2</v>
      </c>
      <c r="N399" s="21">
        <v>2.3353252283810702E-3</v>
      </c>
      <c r="O399">
        <v>6030</v>
      </c>
      <c r="P399" t="s">
        <v>18</v>
      </c>
      <c r="Q39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399" s="22">
        <f>_xlfn.XLOOKUP(TBL_Post_1[[#This Row],[Campaign_Name]],TBL_Campaign_Data_1[Campaign_Name],TBL_Campaign_Data_1[Start_Date])</f>
        <v>45453</v>
      </c>
      <c r="S399" s="22">
        <f>_xlfn.XLOOKUP(TBL_Post_1[[#This Row],[Campaign_Name]],TBL_Campaign_Data_1[Campaign_Name],TBL_Campaign_Data_1[End_Date])</f>
        <v>45478</v>
      </c>
    </row>
    <row r="400" spans="1:19">
      <c r="A400" t="s">
        <v>497</v>
      </c>
      <c r="B400" t="s">
        <v>27</v>
      </c>
      <c r="C400" s="22">
        <v>45675</v>
      </c>
      <c r="D400" t="s">
        <v>49</v>
      </c>
      <c r="E400" t="s">
        <v>50</v>
      </c>
      <c r="F400">
        <v>1206</v>
      </c>
      <c r="G400">
        <v>238</v>
      </c>
      <c r="H400">
        <v>36</v>
      </c>
      <c r="I400">
        <v>9648</v>
      </c>
      <c r="J400">
        <v>9417</v>
      </c>
      <c r="K400">
        <v>237</v>
      </c>
      <c r="L400" t="s">
        <v>38</v>
      </c>
      <c r="M400" s="21">
        <v>0.15339966832504101</v>
      </c>
      <c r="N400" s="21">
        <v>2.4564676616915401E-2</v>
      </c>
      <c r="O400">
        <v>1480</v>
      </c>
      <c r="P400" t="s">
        <v>18</v>
      </c>
      <c r="Q40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00" s="22">
        <f>_xlfn.XLOOKUP(TBL_Post_1[[#This Row],[Campaign_Name]],TBL_Campaign_Data_1[Campaign_Name],TBL_Campaign_Data_1[Start_Date])</f>
        <v>45570</v>
      </c>
      <c r="S400" s="22">
        <f>_xlfn.XLOOKUP(TBL_Post_1[[#This Row],[Campaign_Name]],TBL_Campaign_Data_1[Campaign_Name],TBL_Campaign_Data_1[End_Date])</f>
        <v>45601</v>
      </c>
    </row>
    <row r="401" spans="1:19">
      <c r="A401" t="s">
        <v>497</v>
      </c>
      <c r="B401" t="s">
        <v>27</v>
      </c>
      <c r="C401" s="22">
        <v>45675</v>
      </c>
      <c r="D401" t="s">
        <v>49</v>
      </c>
      <c r="E401" t="s">
        <v>50</v>
      </c>
      <c r="F401">
        <v>1206</v>
      </c>
      <c r="G401">
        <v>238</v>
      </c>
      <c r="H401">
        <v>36</v>
      </c>
      <c r="I401">
        <v>9648</v>
      </c>
      <c r="J401">
        <v>9417</v>
      </c>
      <c r="K401">
        <v>237</v>
      </c>
      <c r="L401" t="s">
        <v>38</v>
      </c>
      <c r="M401" s="21">
        <v>0.15339966832504101</v>
      </c>
      <c r="N401" s="21">
        <v>2.4564676616915401E-2</v>
      </c>
      <c r="O401">
        <v>1480</v>
      </c>
      <c r="P401" t="s">
        <v>58</v>
      </c>
      <c r="Q40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01" s="22">
        <f>_xlfn.XLOOKUP(TBL_Post_1[[#This Row],[Campaign_Name]],TBL_Campaign_Data_1[Campaign_Name],TBL_Campaign_Data_1[Start_Date])</f>
        <v>45570</v>
      </c>
      <c r="S401" s="22">
        <f>_xlfn.XLOOKUP(TBL_Post_1[[#This Row],[Campaign_Name]],TBL_Campaign_Data_1[Campaign_Name],TBL_Campaign_Data_1[End_Date])</f>
        <v>45601</v>
      </c>
    </row>
    <row r="402" spans="1:19">
      <c r="A402" t="s">
        <v>498</v>
      </c>
      <c r="B402" t="s">
        <v>31</v>
      </c>
      <c r="C402" s="22">
        <v>45524</v>
      </c>
      <c r="D402" t="s">
        <v>16</v>
      </c>
      <c r="E402" t="s">
        <v>17</v>
      </c>
      <c r="F402">
        <v>2603</v>
      </c>
      <c r="G402">
        <v>690</v>
      </c>
      <c r="H402">
        <v>205</v>
      </c>
      <c r="I402">
        <v>13015</v>
      </c>
      <c r="J402">
        <v>12130</v>
      </c>
      <c r="K402">
        <v>20</v>
      </c>
      <c r="L402" t="s">
        <v>19</v>
      </c>
      <c r="M402" s="21">
        <v>0.268766807529773</v>
      </c>
      <c r="N402" s="21">
        <v>1.5366884364195199E-3</v>
      </c>
      <c r="O402">
        <v>3498</v>
      </c>
      <c r="P402" t="s">
        <v>44</v>
      </c>
      <c r="Q40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402" s="22">
        <f>_xlfn.XLOOKUP(TBL_Post_1[[#This Row],[Campaign_Name]],TBL_Campaign_Data_1[Campaign_Name],TBL_Campaign_Data_1[Start_Date])</f>
        <v>45505</v>
      </c>
      <c r="S402" s="22">
        <f>_xlfn.XLOOKUP(TBL_Post_1[[#This Row],[Campaign_Name]],TBL_Campaign_Data_1[Campaign_Name],TBL_Campaign_Data_1[End_Date])</f>
        <v>45535</v>
      </c>
    </row>
    <row r="403" spans="1:19">
      <c r="A403" t="s">
        <v>500</v>
      </c>
      <c r="B403" t="s">
        <v>14</v>
      </c>
      <c r="C403" s="22">
        <v>45687</v>
      </c>
      <c r="D403" t="s">
        <v>49</v>
      </c>
      <c r="E403" t="s">
        <v>50</v>
      </c>
      <c r="F403">
        <v>59</v>
      </c>
      <c r="G403">
        <v>163</v>
      </c>
      <c r="H403">
        <v>93</v>
      </c>
      <c r="I403">
        <v>590</v>
      </c>
      <c r="J403">
        <v>475</v>
      </c>
      <c r="K403">
        <v>293</v>
      </c>
      <c r="L403" t="s">
        <v>55</v>
      </c>
      <c r="M403" s="21">
        <v>0.53389830508474601</v>
      </c>
      <c r="N403" s="21">
        <v>0.49661016949152498</v>
      </c>
      <c r="O403">
        <v>315</v>
      </c>
      <c r="P403" t="s">
        <v>44</v>
      </c>
      <c r="Q40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403" s="22">
        <f>_xlfn.XLOOKUP(TBL_Post_1[[#This Row],[Campaign_Name]],TBL_Campaign_Data_1[Campaign_Name],TBL_Campaign_Data_1[Start_Date])</f>
        <v>45667</v>
      </c>
      <c r="S403" s="22">
        <f>_xlfn.XLOOKUP(TBL_Post_1[[#This Row],[Campaign_Name]],TBL_Campaign_Data_1[Campaign_Name],TBL_Campaign_Data_1[End_Date])</f>
        <v>45698</v>
      </c>
    </row>
    <row r="404" spans="1:19">
      <c r="A404" t="s">
        <v>502</v>
      </c>
      <c r="B404" t="s">
        <v>14</v>
      </c>
      <c r="C404" s="22">
        <v>45708</v>
      </c>
      <c r="D404" t="s">
        <v>42</v>
      </c>
      <c r="E404" t="s">
        <v>43</v>
      </c>
      <c r="F404">
        <v>1877</v>
      </c>
      <c r="G404">
        <v>745</v>
      </c>
      <c r="H404">
        <v>225</v>
      </c>
      <c r="I404">
        <v>11262</v>
      </c>
      <c r="J404">
        <v>10967</v>
      </c>
      <c r="K404">
        <v>41</v>
      </c>
      <c r="L404" t="s">
        <v>19</v>
      </c>
      <c r="M404" s="21">
        <v>0.25279701651571701</v>
      </c>
      <c r="N404" s="21">
        <v>3.64056117918664E-3</v>
      </c>
      <c r="O404">
        <v>2847</v>
      </c>
      <c r="P404" t="s">
        <v>58</v>
      </c>
      <c r="Q40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04" s="22">
        <f>_xlfn.XLOOKUP(TBL_Post_1[[#This Row],[Campaign_Name]],TBL_Campaign_Data_1[Campaign_Name],TBL_Campaign_Data_1[Start_Date])</f>
        <v>45505</v>
      </c>
      <c r="S404" s="22">
        <f>_xlfn.XLOOKUP(TBL_Post_1[[#This Row],[Campaign_Name]],TBL_Campaign_Data_1[Campaign_Name],TBL_Campaign_Data_1[End_Date])</f>
        <v>45535</v>
      </c>
    </row>
    <row r="405" spans="1:19">
      <c r="A405" t="s">
        <v>502</v>
      </c>
      <c r="B405" t="s">
        <v>14</v>
      </c>
      <c r="C405" s="22">
        <v>45708</v>
      </c>
      <c r="D405" t="s">
        <v>42</v>
      </c>
      <c r="E405" t="s">
        <v>43</v>
      </c>
      <c r="F405">
        <v>1877</v>
      </c>
      <c r="G405">
        <v>745</v>
      </c>
      <c r="H405">
        <v>225</v>
      </c>
      <c r="I405">
        <v>11262</v>
      </c>
      <c r="J405">
        <v>10967</v>
      </c>
      <c r="K405">
        <v>41</v>
      </c>
      <c r="L405" t="s">
        <v>19</v>
      </c>
      <c r="M405" s="21">
        <v>0.25279701651571701</v>
      </c>
      <c r="N405" s="21">
        <v>3.64056117918664E-3</v>
      </c>
      <c r="O405">
        <v>2847</v>
      </c>
      <c r="P405" t="s">
        <v>18</v>
      </c>
      <c r="Q40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05" s="22">
        <f>_xlfn.XLOOKUP(TBL_Post_1[[#This Row],[Campaign_Name]],TBL_Campaign_Data_1[Campaign_Name],TBL_Campaign_Data_1[Start_Date])</f>
        <v>45505</v>
      </c>
      <c r="S405" s="22">
        <f>_xlfn.XLOOKUP(TBL_Post_1[[#This Row],[Campaign_Name]],TBL_Campaign_Data_1[Campaign_Name],TBL_Campaign_Data_1[End_Date])</f>
        <v>45535</v>
      </c>
    </row>
    <row r="406" spans="1:19">
      <c r="A406" t="s">
        <v>504</v>
      </c>
      <c r="B406" t="s">
        <v>40</v>
      </c>
      <c r="C406" s="22">
        <v>45621</v>
      </c>
      <c r="D406" t="s">
        <v>33</v>
      </c>
      <c r="E406" t="s">
        <v>34</v>
      </c>
      <c r="F406">
        <v>4182</v>
      </c>
      <c r="G406">
        <v>640</v>
      </c>
      <c r="H406">
        <v>240</v>
      </c>
      <c r="I406">
        <v>50184</v>
      </c>
      <c r="J406">
        <v>49351</v>
      </c>
      <c r="K406">
        <v>10</v>
      </c>
      <c r="L406" t="s">
        <v>38</v>
      </c>
      <c r="M406" s="21">
        <v>0.10086880280567501</v>
      </c>
      <c r="N406" s="21">
        <v>1.99266698549338E-4</v>
      </c>
      <c r="O406">
        <v>5062</v>
      </c>
      <c r="P406" t="s">
        <v>18</v>
      </c>
      <c r="Q40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06" s="22">
        <f>_xlfn.XLOOKUP(TBL_Post_1[[#This Row],[Campaign_Name]],TBL_Campaign_Data_1[Campaign_Name],TBL_Campaign_Data_1[Start_Date])</f>
        <v>45570</v>
      </c>
      <c r="S406" s="22">
        <f>_xlfn.XLOOKUP(TBL_Post_1[[#This Row],[Campaign_Name]],TBL_Campaign_Data_1[Campaign_Name],TBL_Campaign_Data_1[End_Date])</f>
        <v>45601</v>
      </c>
    </row>
    <row r="407" spans="1:19">
      <c r="A407" t="s">
        <v>504</v>
      </c>
      <c r="B407" t="s">
        <v>40</v>
      </c>
      <c r="C407" s="22">
        <v>45621</v>
      </c>
      <c r="D407" t="s">
        <v>33</v>
      </c>
      <c r="E407" t="s">
        <v>34</v>
      </c>
      <c r="F407">
        <v>4182</v>
      </c>
      <c r="G407">
        <v>640</v>
      </c>
      <c r="H407">
        <v>240</v>
      </c>
      <c r="I407">
        <v>50184</v>
      </c>
      <c r="J407">
        <v>49351</v>
      </c>
      <c r="K407">
        <v>10</v>
      </c>
      <c r="L407" t="s">
        <v>38</v>
      </c>
      <c r="M407" s="21">
        <v>0.10086880280567501</v>
      </c>
      <c r="N407" s="21">
        <v>1.99266698549338E-4</v>
      </c>
      <c r="O407">
        <v>5062</v>
      </c>
      <c r="P407" t="s">
        <v>58</v>
      </c>
      <c r="Q40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07" s="22">
        <f>_xlfn.XLOOKUP(TBL_Post_1[[#This Row],[Campaign_Name]],TBL_Campaign_Data_1[Campaign_Name],TBL_Campaign_Data_1[Start_Date])</f>
        <v>45570</v>
      </c>
      <c r="S407" s="22">
        <f>_xlfn.XLOOKUP(TBL_Post_1[[#This Row],[Campaign_Name]],TBL_Campaign_Data_1[Campaign_Name],TBL_Campaign_Data_1[End_Date])</f>
        <v>45601</v>
      </c>
    </row>
    <row r="408" spans="1:19">
      <c r="A408" t="s">
        <v>505</v>
      </c>
      <c r="B408" t="s">
        <v>14</v>
      </c>
      <c r="C408" s="22">
        <v>45569</v>
      </c>
      <c r="D408" t="s">
        <v>16</v>
      </c>
      <c r="E408" t="s">
        <v>17</v>
      </c>
      <c r="F408">
        <v>4187</v>
      </c>
      <c r="G408">
        <v>66</v>
      </c>
      <c r="H408">
        <v>31</v>
      </c>
      <c r="I408">
        <v>66992</v>
      </c>
      <c r="J408">
        <v>66614</v>
      </c>
      <c r="K408">
        <v>62</v>
      </c>
      <c r="L408" t="s">
        <v>55</v>
      </c>
      <c r="M408" s="21">
        <v>6.3947934081681396E-2</v>
      </c>
      <c r="N408" s="21">
        <v>9.2548363983759301E-4</v>
      </c>
      <c r="O408">
        <v>4284</v>
      </c>
      <c r="P408" t="s">
        <v>58</v>
      </c>
      <c r="Q40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08" s="22">
        <f>_xlfn.XLOOKUP(TBL_Post_1[[#This Row],[Campaign_Name]],TBL_Campaign_Data_1[Campaign_Name],TBL_Campaign_Data_1[Start_Date])</f>
        <v>45667</v>
      </c>
      <c r="S408" s="22">
        <f>_xlfn.XLOOKUP(TBL_Post_1[[#This Row],[Campaign_Name]],TBL_Campaign_Data_1[Campaign_Name],TBL_Campaign_Data_1[End_Date])</f>
        <v>45698</v>
      </c>
    </row>
    <row r="409" spans="1:19">
      <c r="A409" t="s">
        <v>506</v>
      </c>
      <c r="B409" t="s">
        <v>31</v>
      </c>
      <c r="C409" s="22">
        <v>45760</v>
      </c>
      <c r="D409" t="s">
        <v>16</v>
      </c>
      <c r="E409" t="s">
        <v>17</v>
      </c>
      <c r="F409">
        <v>4579</v>
      </c>
      <c r="G409">
        <v>125</v>
      </c>
      <c r="H409">
        <v>300</v>
      </c>
      <c r="I409">
        <v>59527</v>
      </c>
      <c r="J409">
        <v>59400</v>
      </c>
      <c r="K409">
        <v>269</v>
      </c>
      <c r="L409" t="s">
        <v>19</v>
      </c>
      <c r="M409" s="21">
        <v>8.40626942395888E-2</v>
      </c>
      <c r="N409" s="21">
        <v>4.5189577838627799E-3</v>
      </c>
      <c r="O409">
        <v>5004</v>
      </c>
      <c r="P409" t="s">
        <v>58</v>
      </c>
      <c r="Q40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09" s="22">
        <f>_xlfn.XLOOKUP(TBL_Post_1[[#This Row],[Campaign_Name]],TBL_Campaign_Data_1[Campaign_Name],TBL_Campaign_Data_1[Start_Date])</f>
        <v>45505</v>
      </c>
      <c r="S409" s="22">
        <f>_xlfn.XLOOKUP(TBL_Post_1[[#This Row],[Campaign_Name]],TBL_Campaign_Data_1[Campaign_Name],TBL_Campaign_Data_1[End_Date])</f>
        <v>45535</v>
      </c>
    </row>
    <row r="410" spans="1:19">
      <c r="A410" t="s">
        <v>506</v>
      </c>
      <c r="B410" t="s">
        <v>31</v>
      </c>
      <c r="C410" s="22">
        <v>45760</v>
      </c>
      <c r="D410" t="s">
        <v>16</v>
      </c>
      <c r="E410" t="s">
        <v>17</v>
      </c>
      <c r="F410">
        <v>4579</v>
      </c>
      <c r="G410">
        <v>125</v>
      </c>
      <c r="H410">
        <v>300</v>
      </c>
      <c r="I410">
        <v>59527</v>
      </c>
      <c r="J410">
        <v>59400</v>
      </c>
      <c r="K410">
        <v>269</v>
      </c>
      <c r="L410" t="s">
        <v>19</v>
      </c>
      <c r="M410" s="21">
        <v>8.40626942395888E-2</v>
      </c>
      <c r="N410" s="21">
        <v>4.5189577838627799E-3</v>
      </c>
      <c r="O410">
        <v>5004</v>
      </c>
      <c r="P410" t="s">
        <v>24</v>
      </c>
      <c r="Q41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10" s="22">
        <f>_xlfn.XLOOKUP(TBL_Post_1[[#This Row],[Campaign_Name]],TBL_Campaign_Data_1[Campaign_Name],TBL_Campaign_Data_1[Start_Date])</f>
        <v>45505</v>
      </c>
      <c r="S410" s="22">
        <f>_xlfn.XLOOKUP(TBL_Post_1[[#This Row],[Campaign_Name]],TBL_Campaign_Data_1[Campaign_Name],TBL_Campaign_Data_1[End_Date])</f>
        <v>45535</v>
      </c>
    </row>
    <row r="411" spans="1:19">
      <c r="A411" t="s">
        <v>508</v>
      </c>
      <c r="B411" t="s">
        <v>31</v>
      </c>
      <c r="C411" s="22">
        <v>45601</v>
      </c>
      <c r="D411" t="s">
        <v>69</v>
      </c>
      <c r="E411" t="s">
        <v>70</v>
      </c>
      <c r="F411">
        <v>4561</v>
      </c>
      <c r="G411">
        <v>51</v>
      </c>
      <c r="H411">
        <v>441</v>
      </c>
      <c r="I411">
        <v>22805</v>
      </c>
      <c r="J411">
        <v>21890</v>
      </c>
      <c r="K411">
        <v>45</v>
      </c>
      <c r="L411" t="s">
        <v>25</v>
      </c>
      <c r="M411" s="21">
        <v>0.221574216180662</v>
      </c>
      <c r="N411" s="21">
        <v>1.9732514799386102E-3</v>
      </c>
      <c r="O411">
        <v>5053</v>
      </c>
      <c r="P411" t="s">
        <v>58</v>
      </c>
      <c r="Q41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11" s="22">
        <f>_xlfn.XLOOKUP(TBL_Post_1[[#This Row],[Campaign_Name]],TBL_Campaign_Data_1[Campaign_Name],TBL_Campaign_Data_1[Start_Date])</f>
        <v>45453</v>
      </c>
      <c r="S411" s="22">
        <f>_xlfn.XLOOKUP(TBL_Post_1[[#This Row],[Campaign_Name]],TBL_Campaign_Data_1[Campaign_Name],TBL_Campaign_Data_1[End_Date])</f>
        <v>45478</v>
      </c>
    </row>
    <row r="412" spans="1:19">
      <c r="A412" t="s">
        <v>510</v>
      </c>
      <c r="B412" t="s">
        <v>27</v>
      </c>
      <c r="C412" s="22">
        <v>45672</v>
      </c>
      <c r="D412" t="s">
        <v>16</v>
      </c>
      <c r="E412" t="s">
        <v>17</v>
      </c>
      <c r="F412">
        <v>3774</v>
      </c>
      <c r="G412">
        <v>239</v>
      </c>
      <c r="H412">
        <v>39</v>
      </c>
      <c r="I412">
        <v>60384</v>
      </c>
      <c r="J412">
        <v>59490</v>
      </c>
      <c r="K412">
        <v>241</v>
      </c>
      <c r="L412" t="s">
        <v>38</v>
      </c>
      <c r="M412" s="21">
        <v>6.7103868574456799E-2</v>
      </c>
      <c r="N412" s="21">
        <v>3.9911234764175903E-3</v>
      </c>
      <c r="O412">
        <v>4052</v>
      </c>
      <c r="P412" t="s">
        <v>77</v>
      </c>
      <c r="Q41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12" s="22">
        <f>_xlfn.XLOOKUP(TBL_Post_1[[#This Row],[Campaign_Name]],TBL_Campaign_Data_1[Campaign_Name],TBL_Campaign_Data_1[Start_Date])</f>
        <v>45570</v>
      </c>
      <c r="S412" s="22">
        <f>_xlfn.XLOOKUP(TBL_Post_1[[#This Row],[Campaign_Name]],TBL_Campaign_Data_1[Campaign_Name],TBL_Campaign_Data_1[End_Date])</f>
        <v>45601</v>
      </c>
    </row>
    <row r="413" spans="1:19">
      <c r="A413" t="s">
        <v>511</v>
      </c>
      <c r="B413" t="s">
        <v>31</v>
      </c>
      <c r="C413" s="22">
        <v>45582</v>
      </c>
      <c r="D413" t="s">
        <v>69</v>
      </c>
      <c r="E413" t="s">
        <v>70</v>
      </c>
      <c r="F413">
        <v>3575</v>
      </c>
      <c r="G413">
        <v>749</v>
      </c>
      <c r="H413">
        <v>111</v>
      </c>
      <c r="I413">
        <v>21450</v>
      </c>
      <c r="J413">
        <v>20785</v>
      </c>
      <c r="K413">
        <v>195</v>
      </c>
      <c r="L413" t="s">
        <v>38</v>
      </c>
      <c r="M413" s="21">
        <v>0.20675990675990699</v>
      </c>
      <c r="N413" s="21">
        <v>9.0909090909090905E-3</v>
      </c>
      <c r="O413">
        <v>4435</v>
      </c>
      <c r="P413" t="s">
        <v>77</v>
      </c>
      <c r="Q41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413" s="22">
        <f>_xlfn.XLOOKUP(TBL_Post_1[[#This Row],[Campaign_Name]],TBL_Campaign_Data_1[Campaign_Name],TBL_Campaign_Data_1[Start_Date])</f>
        <v>45570</v>
      </c>
      <c r="S413" s="22">
        <f>_xlfn.XLOOKUP(TBL_Post_1[[#This Row],[Campaign_Name]],TBL_Campaign_Data_1[Campaign_Name],TBL_Campaign_Data_1[End_Date])</f>
        <v>45601</v>
      </c>
    </row>
    <row r="414" spans="1:19">
      <c r="A414" t="s">
        <v>513</v>
      </c>
      <c r="B414" t="s">
        <v>31</v>
      </c>
      <c r="C414" s="22">
        <v>45743</v>
      </c>
      <c r="D414" t="s">
        <v>22</v>
      </c>
      <c r="E414" t="s">
        <v>23</v>
      </c>
      <c r="F414">
        <v>4941</v>
      </c>
      <c r="G414">
        <v>414</v>
      </c>
      <c r="H414">
        <v>266</v>
      </c>
      <c r="I414">
        <v>39528</v>
      </c>
      <c r="J414">
        <v>39154</v>
      </c>
      <c r="K414">
        <v>217</v>
      </c>
      <c r="L414" t="s">
        <v>25</v>
      </c>
      <c r="M414" s="21">
        <v>0.142202995345072</v>
      </c>
      <c r="N414" s="21">
        <v>5.4897793968832201E-3</v>
      </c>
      <c r="O414">
        <v>5621</v>
      </c>
      <c r="P414" t="s">
        <v>18</v>
      </c>
      <c r="Q41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14" s="22">
        <f>_xlfn.XLOOKUP(TBL_Post_1[[#This Row],[Campaign_Name]],TBL_Campaign_Data_1[Campaign_Name],TBL_Campaign_Data_1[Start_Date])</f>
        <v>45453</v>
      </c>
      <c r="S414" s="22">
        <f>_xlfn.XLOOKUP(TBL_Post_1[[#This Row],[Campaign_Name]],TBL_Campaign_Data_1[Campaign_Name],TBL_Campaign_Data_1[End_Date])</f>
        <v>45478</v>
      </c>
    </row>
    <row r="415" spans="1:19">
      <c r="A415" t="s">
        <v>514</v>
      </c>
      <c r="B415" t="s">
        <v>27</v>
      </c>
      <c r="C415" s="22">
        <v>45577</v>
      </c>
      <c r="D415" t="s">
        <v>33</v>
      </c>
      <c r="E415" t="s">
        <v>34</v>
      </c>
      <c r="F415">
        <v>3641</v>
      </c>
      <c r="G415">
        <v>226</v>
      </c>
      <c r="H415">
        <v>46</v>
      </c>
      <c r="I415">
        <v>40051</v>
      </c>
      <c r="J415">
        <v>39319</v>
      </c>
      <c r="K415">
        <v>296</v>
      </c>
      <c r="L415" t="s">
        <v>25</v>
      </c>
      <c r="M415" s="21">
        <v>9.7700431949264699E-2</v>
      </c>
      <c r="N415" s="21">
        <v>7.3905770143067604E-3</v>
      </c>
      <c r="O415">
        <v>3913</v>
      </c>
      <c r="P415" t="s">
        <v>44</v>
      </c>
      <c r="Q41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15" s="22">
        <f>_xlfn.XLOOKUP(TBL_Post_1[[#This Row],[Campaign_Name]],TBL_Campaign_Data_1[Campaign_Name],TBL_Campaign_Data_1[Start_Date])</f>
        <v>45453</v>
      </c>
      <c r="S415" s="22">
        <f>_xlfn.XLOOKUP(TBL_Post_1[[#This Row],[Campaign_Name]],TBL_Campaign_Data_1[Campaign_Name],TBL_Campaign_Data_1[End_Date])</f>
        <v>45478</v>
      </c>
    </row>
    <row r="416" spans="1:19">
      <c r="A416" t="s">
        <v>516</v>
      </c>
      <c r="B416" t="s">
        <v>14</v>
      </c>
      <c r="C416" s="22">
        <v>45658</v>
      </c>
      <c r="D416" t="s">
        <v>42</v>
      </c>
      <c r="E416" t="s">
        <v>43</v>
      </c>
      <c r="F416">
        <v>3535</v>
      </c>
      <c r="G416">
        <v>494</v>
      </c>
      <c r="H416">
        <v>152</v>
      </c>
      <c r="I416">
        <v>53025</v>
      </c>
      <c r="J416">
        <v>52791</v>
      </c>
      <c r="K416">
        <v>44</v>
      </c>
      <c r="L416" t="s">
        <v>25</v>
      </c>
      <c r="M416" s="21">
        <v>7.8849599245638793E-2</v>
      </c>
      <c r="N416" s="21">
        <v>8.2979726544082997E-4</v>
      </c>
      <c r="O416">
        <v>4181</v>
      </c>
      <c r="P416" t="s">
        <v>44</v>
      </c>
      <c r="Q41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16" s="22">
        <f>_xlfn.XLOOKUP(TBL_Post_1[[#This Row],[Campaign_Name]],TBL_Campaign_Data_1[Campaign_Name],TBL_Campaign_Data_1[Start_Date])</f>
        <v>45453</v>
      </c>
      <c r="S416" s="22">
        <f>_xlfn.XLOOKUP(TBL_Post_1[[#This Row],[Campaign_Name]],TBL_Campaign_Data_1[Campaign_Name],TBL_Campaign_Data_1[End_Date])</f>
        <v>45478</v>
      </c>
    </row>
    <row r="417" spans="1:19">
      <c r="A417" t="s">
        <v>516</v>
      </c>
      <c r="B417" t="s">
        <v>14</v>
      </c>
      <c r="C417" s="22">
        <v>45658</v>
      </c>
      <c r="D417" t="s">
        <v>42</v>
      </c>
      <c r="E417" t="s">
        <v>43</v>
      </c>
      <c r="F417">
        <v>3535</v>
      </c>
      <c r="G417">
        <v>494</v>
      </c>
      <c r="H417">
        <v>152</v>
      </c>
      <c r="I417">
        <v>53025</v>
      </c>
      <c r="J417">
        <v>52791</v>
      </c>
      <c r="K417">
        <v>44</v>
      </c>
      <c r="L417" t="s">
        <v>25</v>
      </c>
      <c r="M417" s="21">
        <v>7.8849599245638793E-2</v>
      </c>
      <c r="N417" s="21">
        <v>8.2979726544082997E-4</v>
      </c>
      <c r="O417">
        <v>4181</v>
      </c>
      <c r="P417" t="s">
        <v>58</v>
      </c>
      <c r="Q41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17" s="22">
        <f>_xlfn.XLOOKUP(TBL_Post_1[[#This Row],[Campaign_Name]],TBL_Campaign_Data_1[Campaign_Name],TBL_Campaign_Data_1[Start_Date])</f>
        <v>45453</v>
      </c>
      <c r="S417" s="22">
        <f>_xlfn.XLOOKUP(TBL_Post_1[[#This Row],[Campaign_Name]],TBL_Campaign_Data_1[Campaign_Name],TBL_Campaign_Data_1[End_Date])</f>
        <v>45478</v>
      </c>
    </row>
    <row r="418" spans="1:19">
      <c r="A418" t="s">
        <v>517</v>
      </c>
      <c r="B418" t="s">
        <v>40</v>
      </c>
      <c r="C418" s="22">
        <v>45509</v>
      </c>
      <c r="D418" t="s">
        <v>16</v>
      </c>
      <c r="E418" t="s">
        <v>17</v>
      </c>
      <c r="F418">
        <v>1741</v>
      </c>
      <c r="G418">
        <v>831</v>
      </c>
      <c r="H418">
        <v>345</v>
      </c>
      <c r="I418">
        <v>17410</v>
      </c>
      <c r="J418">
        <v>16844</v>
      </c>
      <c r="K418">
        <v>58</v>
      </c>
      <c r="L418" t="s">
        <v>55</v>
      </c>
      <c r="M418" s="21">
        <v>0.16754738655944901</v>
      </c>
      <c r="N418" s="21">
        <v>3.3314187248707598E-3</v>
      </c>
      <c r="O418">
        <v>2917</v>
      </c>
      <c r="P418" t="s">
        <v>24</v>
      </c>
      <c r="Q41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18" s="22">
        <f>_xlfn.XLOOKUP(TBL_Post_1[[#This Row],[Campaign_Name]],TBL_Campaign_Data_1[Campaign_Name],TBL_Campaign_Data_1[Start_Date])</f>
        <v>45667</v>
      </c>
      <c r="S418" s="22">
        <f>_xlfn.XLOOKUP(TBL_Post_1[[#This Row],[Campaign_Name]],TBL_Campaign_Data_1[Campaign_Name],TBL_Campaign_Data_1[End_Date])</f>
        <v>45698</v>
      </c>
    </row>
    <row r="419" spans="1:19">
      <c r="A419" t="s">
        <v>517</v>
      </c>
      <c r="B419" t="s">
        <v>40</v>
      </c>
      <c r="C419" s="22">
        <v>45509</v>
      </c>
      <c r="D419" t="s">
        <v>16</v>
      </c>
      <c r="E419" t="s">
        <v>17</v>
      </c>
      <c r="F419">
        <v>1741</v>
      </c>
      <c r="G419">
        <v>831</v>
      </c>
      <c r="H419">
        <v>345</v>
      </c>
      <c r="I419">
        <v>17410</v>
      </c>
      <c r="J419">
        <v>16844</v>
      </c>
      <c r="K419">
        <v>58</v>
      </c>
      <c r="L419" t="s">
        <v>55</v>
      </c>
      <c r="M419" s="21">
        <v>0.16754738655944901</v>
      </c>
      <c r="N419" s="21">
        <v>3.3314187248707598E-3</v>
      </c>
      <c r="O419">
        <v>2917</v>
      </c>
      <c r="P419" t="s">
        <v>77</v>
      </c>
      <c r="Q41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19" s="22">
        <f>_xlfn.XLOOKUP(TBL_Post_1[[#This Row],[Campaign_Name]],TBL_Campaign_Data_1[Campaign_Name],TBL_Campaign_Data_1[Start_Date])</f>
        <v>45667</v>
      </c>
      <c r="S419" s="22">
        <f>_xlfn.XLOOKUP(TBL_Post_1[[#This Row],[Campaign_Name]],TBL_Campaign_Data_1[Campaign_Name],TBL_Campaign_Data_1[End_Date])</f>
        <v>45698</v>
      </c>
    </row>
    <row r="420" spans="1:19">
      <c r="A420" t="s">
        <v>518</v>
      </c>
      <c r="B420" t="s">
        <v>14</v>
      </c>
      <c r="C420" s="22">
        <v>45450</v>
      </c>
      <c r="D420" t="s">
        <v>42</v>
      </c>
      <c r="E420" t="s">
        <v>43</v>
      </c>
      <c r="F420">
        <v>1556</v>
      </c>
      <c r="G420">
        <v>195</v>
      </c>
      <c r="H420">
        <v>131</v>
      </c>
      <c r="I420">
        <v>9336</v>
      </c>
      <c r="J420">
        <v>8875</v>
      </c>
      <c r="K420">
        <v>137</v>
      </c>
      <c r="L420" t="s">
        <v>25</v>
      </c>
      <c r="M420" s="21">
        <v>0.20158526135389901</v>
      </c>
      <c r="N420" s="21">
        <v>1.46743787489289E-2</v>
      </c>
      <c r="O420">
        <v>1882</v>
      </c>
      <c r="P420" t="s">
        <v>24</v>
      </c>
      <c r="Q42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420" s="22">
        <f>_xlfn.XLOOKUP(TBL_Post_1[[#This Row],[Campaign_Name]],TBL_Campaign_Data_1[Campaign_Name],TBL_Campaign_Data_1[Start_Date])</f>
        <v>45453</v>
      </c>
      <c r="S420" s="22">
        <f>_xlfn.XLOOKUP(TBL_Post_1[[#This Row],[Campaign_Name]],TBL_Campaign_Data_1[Campaign_Name],TBL_Campaign_Data_1[End_Date])</f>
        <v>45478</v>
      </c>
    </row>
    <row r="421" spans="1:19">
      <c r="A421" t="s">
        <v>520</v>
      </c>
      <c r="B421" t="s">
        <v>40</v>
      </c>
      <c r="C421" s="22">
        <v>45753</v>
      </c>
      <c r="D421" t="s">
        <v>49</v>
      </c>
      <c r="E421" t="s">
        <v>50</v>
      </c>
      <c r="F421">
        <v>4236</v>
      </c>
      <c r="G421">
        <v>711</v>
      </c>
      <c r="H421">
        <v>298</v>
      </c>
      <c r="I421">
        <v>21180</v>
      </c>
      <c r="J421">
        <v>20516</v>
      </c>
      <c r="K421">
        <v>238</v>
      </c>
      <c r="L421" t="s">
        <v>55</v>
      </c>
      <c r="M421" s="21">
        <v>0.247639282341832</v>
      </c>
      <c r="N421" s="21">
        <v>1.12370160528801E-2</v>
      </c>
      <c r="O421">
        <v>5245</v>
      </c>
      <c r="P421" t="s">
        <v>44</v>
      </c>
      <c r="Q42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21" s="22">
        <f>_xlfn.XLOOKUP(TBL_Post_1[[#This Row],[Campaign_Name]],TBL_Campaign_Data_1[Campaign_Name],TBL_Campaign_Data_1[Start_Date])</f>
        <v>45667</v>
      </c>
      <c r="S421" s="22">
        <f>_xlfn.XLOOKUP(TBL_Post_1[[#This Row],[Campaign_Name]],TBL_Campaign_Data_1[Campaign_Name],TBL_Campaign_Data_1[End_Date])</f>
        <v>45698</v>
      </c>
    </row>
    <row r="422" spans="1:19">
      <c r="A422" t="s">
        <v>520</v>
      </c>
      <c r="B422" t="s">
        <v>40</v>
      </c>
      <c r="C422" s="22">
        <v>45753</v>
      </c>
      <c r="D422" t="s">
        <v>49</v>
      </c>
      <c r="E422" t="s">
        <v>50</v>
      </c>
      <c r="F422">
        <v>4236</v>
      </c>
      <c r="G422">
        <v>711</v>
      </c>
      <c r="H422">
        <v>298</v>
      </c>
      <c r="I422">
        <v>21180</v>
      </c>
      <c r="J422">
        <v>20516</v>
      </c>
      <c r="K422">
        <v>238</v>
      </c>
      <c r="L422" t="s">
        <v>55</v>
      </c>
      <c r="M422" s="21">
        <v>0.247639282341832</v>
      </c>
      <c r="N422" s="21">
        <v>1.12370160528801E-2</v>
      </c>
      <c r="O422">
        <v>5245</v>
      </c>
      <c r="P422" t="s">
        <v>18</v>
      </c>
      <c r="Q42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22" s="22">
        <f>_xlfn.XLOOKUP(TBL_Post_1[[#This Row],[Campaign_Name]],TBL_Campaign_Data_1[Campaign_Name],TBL_Campaign_Data_1[Start_Date])</f>
        <v>45667</v>
      </c>
      <c r="S422" s="22">
        <f>_xlfn.XLOOKUP(TBL_Post_1[[#This Row],[Campaign_Name]],TBL_Campaign_Data_1[Campaign_Name],TBL_Campaign_Data_1[End_Date])</f>
        <v>45698</v>
      </c>
    </row>
    <row r="423" spans="1:19">
      <c r="A423" t="s">
        <v>521</v>
      </c>
      <c r="B423" t="s">
        <v>14</v>
      </c>
      <c r="C423" s="22">
        <v>45622</v>
      </c>
      <c r="D423" t="s">
        <v>22</v>
      </c>
      <c r="E423" t="s">
        <v>23</v>
      </c>
      <c r="F423">
        <v>4516</v>
      </c>
      <c r="G423">
        <v>836</v>
      </c>
      <c r="H423">
        <v>169</v>
      </c>
      <c r="I423">
        <v>49676</v>
      </c>
      <c r="J423">
        <v>49257</v>
      </c>
      <c r="K423">
        <v>282</v>
      </c>
      <c r="L423" t="s">
        <v>19</v>
      </c>
      <c r="M423" s="21">
        <v>0.111140188420968</v>
      </c>
      <c r="N423" s="21">
        <v>5.6767855704968201E-3</v>
      </c>
      <c r="O423">
        <v>5521</v>
      </c>
      <c r="P423" t="s">
        <v>44</v>
      </c>
      <c r="Q42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23" s="22">
        <f>_xlfn.XLOOKUP(TBL_Post_1[[#This Row],[Campaign_Name]],TBL_Campaign_Data_1[Campaign_Name],TBL_Campaign_Data_1[Start_Date])</f>
        <v>45505</v>
      </c>
      <c r="S423" s="22">
        <f>_xlfn.XLOOKUP(TBL_Post_1[[#This Row],[Campaign_Name]],TBL_Campaign_Data_1[Campaign_Name],TBL_Campaign_Data_1[End_Date])</f>
        <v>45535</v>
      </c>
    </row>
    <row r="424" spans="1:19">
      <c r="A424" t="s">
        <v>523</v>
      </c>
      <c r="B424" t="s">
        <v>27</v>
      </c>
      <c r="C424" s="22">
        <v>45537</v>
      </c>
      <c r="D424" t="s">
        <v>49</v>
      </c>
      <c r="E424" t="s">
        <v>50</v>
      </c>
      <c r="F424">
        <v>4905</v>
      </c>
      <c r="G424">
        <v>845</v>
      </c>
      <c r="H424">
        <v>129</v>
      </c>
      <c r="I424">
        <v>98100</v>
      </c>
      <c r="J424">
        <v>97772</v>
      </c>
      <c r="K424">
        <v>279</v>
      </c>
      <c r="L424" t="s">
        <v>55</v>
      </c>
      <c r="M424" s="21">
        <v>5.9928644240570803E-2</v>
      </c>
      <c r="N424" s="21">
        <v>2.84403669724771E-3</v>
      </c>
      <c r="O424">
        <v>5879</v>
      </c>
      <c r="P424" t="s">
        <v>44</v>
      </c>
      <c r="Q42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24" s="22">
        <f>_xlfn.XLOOKUP(TBL_Post_1[[#This Row],[Campaign_Name]],TBL_Campaign_Data_1[Campaign_Name],TBL_Campaign_Data_1[Start_Date])</f>
        <v>45667</v>
      </c>
      <c r="S424" s="22">
        <f>_xlfn.XLOOKUP(TBL_Post_1[[#This Row],[Campaign_Name]],TBL_Campaign_Data_1[Campaign_Name],TBL_Campaign_Data_1[End_Date])</f>
        <v>45698</v>
      </c>
    </row>
    <row r="425" spans="1:19">
      <c r="A425" t="s">
        <v>524</v>
      </c>
      <c r="B425" t="s">
        <v>27</v>
      </c>
      <c r="C425" s="22">
        <v>45586</v>
      </c>
      <c r="D425" t="s">
        <v>69</v>
      </c>
      <c r="E425" t="s">
        <v>70</v>
      </c>
      <c r="F425">
        <v>4275</v>
      </c>
      <c r="G425">
        <v>680</v>
      </c>
      <c r="H425">
        <v>385</v>
      </c>
      <c r="I425">
        <v>64125</v>
      </c>
      <c r="J425">
        <v>63650</v>
      </c>
      <c r="K425">
        <v>104</v>
      </c>
      <c r="L425" t="s">
        <v>55</v>
      </c>
      <c r="M425" s="21">
        <v>8.3274853801169599E-2</v>
      </c>
      <c r="N425" s="21">
        <v>1.6218323586744601E-3</v>
      </c>
      <c r="O425">
        <v>5340</v>
      </c>
      <c r="P425" t="s">
        <v>58</v>
      </c>
      <c r="Q42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25" s="22">
        <f>_xlfn.XLOOKUP(TBL_Post_1[[#This Row],[Campaign_Name]],TBL_Campaign_Data_1[Campaign_Name],TBL_Campaign_Data_1[Start_Date])</f>
        <v>45667</v>
      </c>
      <c r="S425" s="22">
        <f>_xlfn.XLOOKUP(TBL_Post_1[[#This Row],[Campaign_Name]],TBL_Campaign_Data_1[Campaign_Name],TBL_Campaign_Data_1[End_Date])</f>
        <v>45698</v>
      </c>
    </row>
    <row r="426" spans="1:19">
      <c r="A426" t="s">
        <v>525</v>
      </c>
      <c r="B426" t="s">
        <v>27</v>
      </c>
      <c r="C426" s="22">
        <v>45738</v>
      </c>
      <c r="D426" t="s">
        <v>49</v>
      </c>
      <c r="E426" t="s">
        <v>50</v>
      </c>
      <c r="F426">
        <v>3166</v>
      </c>
      <c r="G426">
        <v>90</v>
      </c>
      <c r="H426">
        <v>341</v>
      </c>
      <c r="I426">
        <v>56988</v>
      </c>
      <c r="J426">
        <v>56125</v>
      </c>
      <c r="K426">
        <v>135</v>
      </c>
      <c r="L426" t="s">
        <v>25</v>
      </c>
      <c r="M426" s="21">
        <v>6.3118551273952397E-2</v>
      </c>
      <c r="N426" s="21">
        <v>2.3689197725836999E-3</v>
      </c>
      <c r="O426">
        <v>3597</v>
      </c>
      <c r="P426" t="s">
        <v>24</v>
      </c>
      <c r="Q42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26" s="22">
        <f>_xlfn.XLOOKUP(TBL_Post_1[[#This Row],[Campaign_Name]],TBL_Campaign_Data_1[Campaign_Name],TBL_Campaign_Data_1[Start_Date])</f>
        <v>45453</v>
      </c>
      <c r="S426" s="22">
        <f>_xlfn.XLOOKUP(TBL_Post_1[[#This Row],[Campaign_Name]],TBL_Campaign_Data_1[Campaign_Name],TBL_Campaign_Data_1[End_Date])</f>
        <v>45478</v>
      </c>
    </row>
    <row r="427" spans="1:19">
      <c r="A427" t="s">
        <v>525</v>
      </c>
      <c r="B427" t="s">
        <v>27</v>
      </c>
      <c r="C427" s="22">
        <v>45738</v>
      </c>
      <c r="D427" t="s">
        <v>49</v>
      </c>
      <c r="E427" t="s">
        <v>50</v>
      </c>
      <c r="F427">
        <v>3166</v>
      </c>
      <c r="G427">
        <v>90</v>
      </c>
      <c r="H427">
        <v>341</v>
      </c>
      <c r="I427">
        <v>56988</v>
      </c>
      <c r="J427">
        <v>56125</v>
      </c>
      <c r="K427">
        <v>135</v>
      </c>
      <c r="L427" t="s">
        <v>25</v>
      </c>
      <c r="M427" s="21">
        <v>6.3118551273952397E-2</v>
      </c>
      <c r="N427" s="21">
        <v>2.3689197725836999E-3</v>
      </c>
      <c r="O427">
        <v>3597</v>
      </c>
      <c r="P427" t="s">
        <v>58</v>
      </c>
      <c r="Q42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27" s="22">
        <f>_xlfn.XLOOKUP(TBL_Post_1[[#This Row],[Campaign_Name]],TBL_Campaign_Data_1[Campaign_Name],TBL_Campaign_Data_1[Start_Date])</f>
        <v>45453</v>
      </c>
      <c r="S427" s="22">
        <f>_xlfn.XLOOKUP(TBL_Post_1[[#This Row],[Campaign_Name]],TBL_Campaign_Data_1[Campaign_Name],TBL_Campaign_Data_1[End_Date])</f>
        <v>45478</v>
      </c>
    </row>
    <row r="428" spans="1:19">
      <c r="A428" t="s">
        <v>527</v>
      </c>
      <c r="B428" t="s">
        <v>31</v>
      </c>
      <c r="C428" s="22">
        <v>45568</v>
      </c>
      <c r="D428" t="s">
        <v>69</v>
      </c>
      <c r="E428" t="s">
        <v>70</v>
      </c>
      <c r="F428">
        <v>1488</v>
      </c>
      <c r="G428">
        <v>417</v>
      </c>
      <c r="H428">
        <v>168</v>
      </c>
      <c r="I428">
        <v>19344</v>
      </c>
      <c r="J428">
        <v>18395</v>
      </c>
      <c r="K428">
        <v>30</v>
      </c>
      <c r="L428" t="s">
        <v>19</v>
      </c>
      <c r="M428" s="21">
        <v>0.10716501240694799</v>
      </c>
      <c r="N428" s="21">
        <v>1.55086848635236E-3</v>
      </c>
      <c r="O428">
        <v>2073</v>
      </c>
      <c r="P428" t="s">
        <v>18</v>
      </c>
      <c r="Q42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28" s="22">
        <f>_xlfn.XLOOKUP(TBL_Post_1[[#This Row],[Campaign_Name]],TBL_Campaign_Data_1[Campaign_Name],TBL_Campaign_Data_1[Start_Date])</f>
        <v>45505</v>
      </c>
      <c r="S428" s="22">
        <f>_xlfn.XLOOKUP(TBL_Post_1[[#This Row],[Campaign_Name]],TBL_Campaign_Data_1[Campaign_Name],TBL_Campaign_Data_1[End_Date])</f>
        <v>45535</v>
      </c>
    </row>
    <row r="429" spans="1:19">
      <c r="A429" t="s">
        <v>529</v>
      </c>
      <c r="B429" t="s">
        <v>14</v>
      </c>
      <c r="C429" s="22">
        <v>45786</v>
      </c>
      <c r="D429" t="s">
        <v>16</v>
      </c>
      <c r="E429" t="s">
        <v>17</v>
      </c>
      <c r="F429">
        <v>3367</v>
      </c>
      <c r="G429">
        <v>302</v>
      </c>
      <c r="H429">
        <v>57</v>
      </c>
      <c r="I429">
        <v>63973</v>
      </c>
      <c r="J429">
        <v>63789</v>
      </c>
      <c r="K429">
        <v>157</v>
      </c>
      <c r="L429" t="s">
        <v>38</v>
      </c>
      <c r="M429" s="21">
        <v>5.8243321401216103E-2</v>
      </c>
      <c r="N429" s="21">
        <v>2.4541603488971902E-3</v>
      </c>
      <c r="O429">
        <v>3726</v>
      </c>
      <c r="P429" t="s">
        <v>44</v>
      </c>
      <c r="Q42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29" s="22">
        <f>_xlfn.XLOOKUP(TBL_Post_1[[#This Row],[Campaign_Name]],TBL_Campaign_Data_1[Campaign_Name],TBL_Campaign_Data_1[Start_Date])</f>
        <v>45570</v>
      </c>
      <c r="S429" s="22">
        <f>_xlfn.XLOOKUP(TBL_Post_1[[#This Row],[Campaign_Name]],TBL_Campaign_Data_1[Campaign_Name],TBL_Campaign_Data_1[End_Date])</f>
        <v>45601</v>
      </c>
    </row>
    <row r="430" spans="1:19">
      <c r="A430" t="s">
        <v>529</v>
      </c>
      <c r="B430" t="s">
        <v>14</v>
      </c>
      <c r="C430" s="22">
        <v>45786</v>
      </c>
      <c r="D430" t="s">
        <v>16</v>
      </c>
      <c r="E430" t="s">
        <v>17</v>
      </c>
      <c r="F430">
        <v>3367</v>
      </c>
      <c r="G430">
        <v>302</v>
      </c>
      <c r="H430">
        <v>57</v>
      </c>
      <c r="I430">
        <v>63973</v>
      </c>
      <c r="J430">
        <v>63789</v>
      </c>
      <c r="K430">
        <v>157</v>
      </c>
      <c r="L430" t="s">
        <v>38</v>
      </c>
      <c r="M430" s="21">
        <v>5.8243321401216103E-2</v>
      </c>
      <c r="N430" s="21">
        <v>2.4541603488971902E-3</v>
      </c>
      <c r="O430">
        <v>3726</v>
      </c>
      <c r="P430" t="s">
        <v>24</v>
      </c>
      <c r="Q43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30" s="22">
        <f>_xlfn.XLOOKUP(TBL_Post_1[[#This Row],[Campaign_Name]],TBL_Campaign_Data_1[Campaign_Name],TBL_Campaign_Data_1[Start_Date])</f>
        <v>45570</v>
      </c>
      <c r="S430" s="22">
        <f>_xlfn.XLOOKUP(TBL_Post_1[[#This Row],[Campaign_Name]],TBL_Campaign_Data_1[Campaign_Name],TBL_Campaign_Data_1[End_Date])</f>
        <v>45601</v>
      </c>
    </row>
    <row r="431" spans="1:19">
      <c r="A431" t="s">
        <v>531</v>
      </c>
      <c r="B431" t="s">
        <v>14</v>
      </c>
      <c r="C431" s="22">
        <v>45552</v>
      </c>
      <c r="D431" t="s">
        <v>22</v>
      </c>
      <c r="E431" t="s">
        <v>23</v>
      </c>
      <c r="F431">
        <v>571</v>
      </c>
      <c r="G431">
        <v>190</v>
      </c>
      <c r="H431">
        <v>352</v>
      </c>
      <c r="I431">
        <v>9707</v>
      </c>
      <c r="J431">
        <v>9418</v>
      </c>
      <c r="K431">
        <v>231</v>
      </c>
      <c r="L431" t="s">
        <v>25</v>
      </c>
      <c r="M431" s="21">
        <v>0.11465952405480601</v>
      </c>
      <c r="N431" s="21">
        <v>2.3797259709488001E-2</v>
      </c>
      <c r="O431">
        <v>1113</v>
      </c>
      <c r="P431" t="s">
        <v>77</v>
      </c>
      <c r="Q43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31" s="22">
        <f>_xlfn.XLOOKUP(TBL_Post_1[[#This Row],[Campaign_Name]],TBL_Campaign_Data_1[Campaign_Name],TBL_Campaign_Data_1[Start_Date])</f>
        <v>45453</v>
      </c>
      <c r="S431" s="22">
        <f>_xlfn.XLOOKUP(TBL_Post_1[[#This Row],[Campaign_Name]],TBL_Campaign_Data_1[Campaign_Name],TBL_Campaign_Data_1[End_Date])</f>
        <v>45478</v>
      </c>
    </row>
    <row r="432" spans="1:19">
      <c r="A432" t="s">
        <v>532</v>
      </c>
      <c r="B432" t="s">
        <v>27</v>
      </c>
      <c r="C432" s="22">
        <v>45491</v>
      </c>
      <c r="D432" t="s">
        <v>22</v>
      </c>
      <c r="E432" t="s">
        <v>23</v>
      </c>
      <c r="F432">
        <v>4021</v>
      </c>
      <c r="G432">
        <v>794</v>
      </c>
      <c r="H432">
        <v>77</v>
      </c>
      <c r="I432">
        <v>36189</v>
      </c>
      <c r="J432">
        <v>35505</v>
      </c>
      <c r="K432">
        <v>174</v>
      </c>
      <c r="L432" t="s">
        <v>19</v>
      </c>
      <c r="M432" s="21">
        <v>0.13517919809887</v>
      </c>
      <c r="N432" s="21">
        <v>4.80809085633756E-3</v>
      </c>
      <c r="O432">
        <v>4892</v>
      </c>
      <c r="P432" t="s">
        <v>77</v>
      </c>
      <c r="Q43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432" s="22">
        <f>_xlfn.XLOOKUP(TBL_Post_1[[#This Row],[Campaign_Name]],TBL_Campaign_Data_1[Campaign_Name],TBL_Campaign_Data_1[Start_Date])</f>
        <v>45505</v>
      </c>
      <c r="S432" s="22">
        <f>_xlfn.XLOOKUP(TBL_Post_1[[#This Row],[Campaign_Name]],TBL_Campaign_Data_1[Campaign_Name],TBL_Campaign_Data_1[End_Date])</f>
        <v>45535</v>
      </c>
    </row>
    <row r="433" spans="1:19">
      <c r="A433" t="s">
        <v>532</v>
      </c>
      <c r="B433" t="s">
        <v>27</v>
      </c>
      <c r="C433" s="22">
        <v>45491</v>
      </c>
      <c r="D433" t="s">
        <v>22</v>
      </c>
      <c r="E433" t="s">
        <v>23</v>
      </c>
      <c r="F433">
        <v>4021</v>
      </c>
      <c r="G433">
        <v>794</v>
      </c>
      <c r="H433">
        <v>77</v>
      </c>
      <c r="I433">
        <v>36189</v>
      </c>
      <c r="J433">
        <v>35505</v>
      </c>
      <c r="K433">
        <v>174</v>
      </c>
      <c r="L433" t="s">
        <v>19</v>
      </c>
      <c r="M433" s="21">
        <v>0.13517919809887</v>
      </c>
      <c r="N433" s="21">
        <v>4.80809085633756E-3</v>
      </c>
      <c r="O433">
        <v>4892</v>
      </c>
      <c r="P433" t="s">
        <v>58</v>
      </c>
      <c r="Q43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Before</v>
      </c>
      <c r="R433" s="22">
        <f>_xlfn.XLOOKUP(TBL_Post_1[[#This Row],[Campaign_Name]],TBL_Campaign_Data_1[Campaign_Name],TBL_Campaign_Data_1[Start_Date])</f>
        <v>45505</v>
      </c>
      <c r="S433" s="22">
        <f>_xlfn.XLOOKUP(TBL_Post_1[[#This Row],[Campaign_Name]],TBL_Campaign_Data_1[Campaign_Name],TBL_Campaign_Data_1[End_Date])</f>
        <v>45535</v>
      </c>
    </row>
    <row r="434" spans="1:19">
      <c r="A434" t="s">
        <v>533</v>
      </c>
      <c r="B434" t="s">
        <v>27</v>
      </c>
      <c r="C434" s="22">
        <v>45560</v>
      </c>
      <c r="D434" t="s">
        <v>69</v>
      </c>
      <c r="E434" t="s">
        <v>70</v>
      </c>
      <c r="F434">
        <v>3389</v>
      </c>
      <c r="G434">
        <v>344</v>
      </c>
      <c r="H434">
        <v>229</v>
      </c>
      <c r="I434">
        <v>20334</v>
      </c>
      <c r="J434">
        <v>19443</v>
      </c>
      <c r="K434">
        <v>228</v>
      </c>
      <c r="L434" t="s">
        <v>25</v>
      </c>
      <c r="M434" s="21">
        <v>0.194846070620635</v>
      </c>
      <c r="N434" s="21">
        <v>1.12127471230451E-2</v>
      </c>
      <c r="O434">
        <v>3962</v>
      </c>
      <c r="P434" t="s">
        <v>24</v>
      </c>
      <c r="Q43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34" s="22">
        <f>_xlfn.XLOOKUP(TBL_Post_1[[#This Row],[Campaign_Name]],TBL_Campaign_Data_1[Campaign_Name],TBL_Campaign_Data_1[Start_Date])</f>
        <v>45453</v>
      </c>
      <c r="S434" s="22">
        <f>_xlfn.XLOOKUP(TBL_Post_1[[#This Row],[Campaign_Name]],TBL_Campaign_Data_1[Campaign_Name],TBL_Campaign_Data_1[End_Date])</f>
        <v>45478</v>
      </c>
    </row>
    <row r="435" spans="1:19">
      <c r="A435" t="s">
        <v>533</v>
      </c>
      <c r="B435" t="s">
        <v>27</v>
      </c>
      <c r="C435" s="22">
        <v>45560</v>
      </c>
      <c r="D435" t="s">
        <v>69</v>
      </c>
      <c r="E435" t="s">
        <v>70</v>
      </c>
      <c r="F435">
        <v>3389</v>
      </c>
      <c r="G435">
        <v>344</v>
      </c>
      <c r="H435">
        <v>229</v>
      </c>
      <c r="I435">
        <v>20334</v>
      </c>
      <c r="J435">
        <v>19443</v>
      </c>
      <c r="K435">
        <v>228</v>
      </c>
      <c r="L435" t="s">
        <v>25</v>
      </c>
      <c r="M435" s="21">
        <v>0.194846070620635</v>
      </c>
      <c r="N435" s="21">
        <v>1.12127471230451E-2</v>
      </c>
      <c r="O435">
        <v>3962</v>
      </c>
      <c r="P435" t="s">
        <v>18</v>
      </c>
      <c r="Q43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35" s="22">
        <f>_xlfn.XLOOKUP(TBL_Post_1[[#This Row],[Campaign_Name]],TBL_Campaign_Data_1[Campaign_Name],TBL_Campaign_Data_1[Start_Date])</f>
        <v>45453</v>
      </c>
      <c r="S435" s="22">
        <f>_xlfn.XLOOKUP(TBL_Post_1[[#This Row],[Campaign_Name]],TBL_Campaign_Data_1[Campaign_Name],TBL_Campaign_Data_1[End_Date])</f>
        <v>45478</v>
      </c>
    </row>
    <row r="436" spans="1:19">
      <c r="A436" t="s">
        <v>535</v>
      </c>
      <c r="B436" t="s">
        <v>31</v>
      </c>
      <c r="C436" s="22">
        <v>45519</v>
      </c>
      <c r="D436" t="s">
        <v>16</v>
      </c>
      <c r="E436" t="s">
        <v>17</v>
      </c>
      <c r="F436">
        <v>1164</v>
      </c>
      <c r="G436">
        <v>616</v>
      </c>
      <c r="H436">
        <v>324</v>
      </c>
      <c r="I436">
        <v>6984</v>
      </c>
      <c r="J436">
        <v>6636</v>
      </c>
      <c r="K436">
        <v>82</v>
      </c>
      <c r="L436" t="s">
        <v>38</v>
      </c>
      <c r="M436" s="21">
        <v>0.30126002290950699</v>
      </c>
      <c r="N436" s="21">
        <v>1.1741122565864801E-2</v>
      </c>
      <c r="O436">
        <v>2104</v>
      </c>
      <c r="P436" t="s">
        <v>24</v>
      </c>
      <c r="Q43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36" s="22">
        <f>_xlfn.XLOOKUP(TBL_Post_1[[#This Row],[Campaign_Name]],TBL_Campaign_Data_1[Campaign_Name],TBL_Campaign_Data_1[Start_Date])</f>
        <v>45570</v>
      </c>
      <c r="S436" s="22">
        <f>_xlfn.XLOOKUP(TBL_Post_1[[#This Row],[Campaign_Name]],TBL_Campaign_Data_1[Campaign_Name],TBL_Campaign_Data_1[End_Date])</f>
        <v>45601</v>
      </c>
    </row>
    <row r="437" spans="1:19">
      <c r="A437" t="s">
        <v>535</v>
      </c>
      <c r="B437" t="s">
        <v>31</v>
      </c>
      <c r="C437" s="22">
        <v>45519</v>
      </c>
      <c r="D437" t="s">
        <v>16</v>
      </c>
      <c r="E437" t="s">
        <v>17</v>
      </c>
      <c r="F437">
        <v>1164</v>
      </c>
      <c r="G437">
        <v>616</v>
      </c>
      <c r="H437">
        <v>324</v>
      </c>
      <c r="I437">
        <v>6984</v>
      </c>
      <c r="J437">
        <v>6636</v>
      </c>
      <c r="K437">
        <v>82</v>
      </c>
      <c r="L437" t="s">
        <v>38</v>
      </c>
      <c r="M437" s="21">
        <v>0.30126002290950699</v>
      </c>
      <c r="N437" s="21">
        <v>1.1741122565864801E-2</v>
      </c>
      <c r="O437">
        <v>2104</v>
      </c>
      <c r="P437" t="s">
        <v>44</v>
      </c>
      <c r="Q43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37" s="22">
        <f>_xlfn.XLOOKUP(TBL_Post_1[[#This Row],[Campaign_Name]],TBL_Campaign_Data_1[Campaign_Name],TBL_Campaign_Data_1[Start_Date])</f>
        <v>45570</v>
      </c>
      <c r="S437" s="22">
        <f>_xlfn.XLOOKUP(TBL_Post_1[[#This Row],[Campaign_Name]],TBL_Campaign_Data_1[Campaign_Name],TBL_Campaign_Data_1[End_Date])</f>
        <v>45601</v>
      </c>
    </row>
    <row r="438" spans="1:19">
      <c r="A438" t="s">
        <v>536</v>
      </c>
      <c r="B438" t="s">
        <v>27</v>
      </c>
      <c r="C438" s="22">
        <v>45764</v>
      </c>
      <c r="D438" t="s">
        <v>42</v>
      </c>
      <c r="E438" t="s">
        <v>43</v>
      </c>
      <c r="F438">
        <v>4780</v>
      </c>
      <c r="G438">
        <v>691</v>
      </c>
      <c r="H438">
        <v>380</v>
      </c>
      <c r="I438">
        <v>86040</v>
      </c>
      <c r="J438">
        <v>85743</v>
      </c>
      <c r="K438">
        <v>262</v>
      </c>
      <c r="L438" t="s">
        <v>38</v>
      </c>
      <c r="M438" s="21">
        <v>6.8003254300325403E-2</v>
      </c>
      <c r="N438" s="21">
        <v>3.0450953045095298E-3</v>
      </c>
      <c r="O438">
        <v>5851</v>
      </c>
      <c r="P438" t="s">
        <v>24</v>
      </c>
      <c r="Q43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38" s="22">
        <f>_xlfn.XLOOKUP(TBL_Post_1[[#This Row],[Campaign_Name]],TBL_Campaign_Data_1[Campaign_Name],TBL_Campaign_Data_1[Start_Date])</f>
        <v>45570</v>
      </c>
      <c r="S438" s="22">
        <f>_xlfn.XLOOKUP(TBL_Post_1[[#This Row],[Campaign_Name]],TBL_Campaign_Data_1[Campaign_Name],TBL_Campaign_Data_1[End_Date])</f>
        <v>45601</v>
      </c>
    </row>
    <row r="439" spans="1:19">
      <c r="A439" t="s">
        <v>536</v>
      </c>
      <c r="B439" t="s">
        <v>27</v>
      </c>
      <c r="C439" s="22">
        <v>45764</v>
      </c>
      <c r="D439" t="s">
        <v>42</v>
      </c>
      <c r="E439" t="s">
        <v>43</v>
      </c>
      <c r="F439">
        <v>4780</v>
      </c>
      <c r="G439">
        <v>691</v>
      </c>
      <c r="H439">
        <v>380</v>
      </c>
      <c r="I439">
        <v>86040</v>
      </c>
      <c r="J439">
        <v>85743</v>
      </c>
      <c r="K439">
        <v>262</v>
      </c>
      <c r="L439" t="s">
        <v>38</v>
      </c>
      <c r="M439" s="21">
        <v>6.8003254300325403E-2</v>
      </c>
      <c r="N439" s="21">
        <v>3.0450953045095298E-3</v>
      </c>
      <c r="O439">
        <v>5851</v>
      </c>
      <c r="P439" t="s">
        <v>77</v>
      </c>
      <c r="Q43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39" s="22">
        <f>_xlfn.XLOOKUP(TBL_Post_1[[#This Row],[Campaign_Name]],TBL_Campaign_Data_1[Campaign_Name],TBL_Campaign_Data_1[Start_Date])</f>
        <v>45570</v>
      </c>
      <c r="S439" s="22">
        <f>_xlfn.XLOOKUP(TBL_Post_1[[#This Row],[Campaign_Name]],TBL_Campaign_Data_1[Campaign_Name],TBL_Campaign_Data_1[End_Date])</f>
        <v>45601</v>
      </c>
    </row>
    <row r="440" spans="1:19">
      <c r="A440" t="s">
        <v>538</v>
      </c>
      <c r="B440" t="s">
        <v>40</v>
      </c>
      <c r="C440" s="22">
        <v>45624</v>
      </c>
      <c r="D440" t="s">
        <v>42</v>
      </c>
      <c r="E440" t="s">
        <v>43</v>
      </c>
      <c r="F440">
        <v>2751</v>
      </c>
      <c r="G440">
        <v>33</v>
      </c>
      <c r="H440">
        <v>430</v>
      </c>
      <c r="I440">
        <v>44016</v>
      </c>
      <c r="J440">
        <v>43415</v>
      </c>
      <c r="K440">
        <v>129</v>
      </c>
      <c r="L440" t="s">
        <v>25</v>
      </c>
      <c r="M440" s="21">
        <v>7.3018902217375503E-2</v>
      </c>
      <c r="N440" s="21">
        <v>2.93075245365322E-3</v>
      </c>
      <c r="O440">
        <v>3214</v>
      </c>
      <c r="P440" t="s">
        <v>44</v>
      </c>
      <c r="Q44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40" s="22">
        <f>_xlfn.XLOOKUP(TBL_Post_1[[#This Row],[Campaign_Name]],TBL_Campaign_Data_1[Campaign_Name],TBL_Campaign_Data_1[Start_Date])</f>
        <v>45453</v>
      </c>
      <c r="S440" s="22">
        <f>_xlfn.XLOOKUP(TBL_Post_1[[#This Row],[Campaign_Name]],TBL_Campaign_Data_1[Campaign_Name],TBL_Campaign_Data_1[End_Date])</f>
        <v>45478</v>
      </c>
    </row>
    <row r="441" spans="1:19">
      <c r="A441" t="s">
        <v>538</v>
      </c>
      <c r="B441" t="s">
        <v>40</v>
      </c>
      <c r="C441" s="22">
        <v>45624</v>
      </c>
      <c r="D441" t="s">
        <v>42</v>
      </c>
      <c r="E441" t="s">
        <v>43</v>
      </c>
      <c r="F441">
        <v>2751</v>
      </c>
      <c r="G441">
        <v>33</v>
      </c>
      <c r="H441">
        <v>430</v>
      </c>
      <c r="I441">
        <v>44016</v>
      </c>
      <c r="J441">
        <v>43415</v>
      </c>
      <c r="K441">
        <v>129</v>
      </c>
      <c r="L441" t="s">
        <v>25</v>
      </c>
      <c r="M441" s="21">
        <v>7.3018902217375503E-2</v>
      </c>
      <c r="N441" s="21">
        <v>2.93075245365322E-3</v>
      </c>
      <c r="O441">
        <v>3214</v>
      </c>
      <c r="P441" t="s">
        <v>58</v>
      </c>
      <c r="Q44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41" s="22">
        <f>_xlfn.XLOOKUP(TBL_Post_1[[#This Row],[Campaign_Name]],TBL_Campaign_Data_1[Campaign_Name],TBL_Campaign_Data_1[Start_Date])</f>
        <v>45453</v>
      </c>
      <c r="S441" s="22">
        <f>_xlfn.XLOOKUP(TBL_Post_1[[#This Row],[Campaign_Name]],TBL_Campaign_Data_1[Campaign_Name],TBL_Campaign_Data_1[End_Date])</f>
        <v>45478</v>
      </c>
    </row>
    <row r="442" spans="1:19">
      <c r="A442" t="s">
        <v>539</v>
      </c>
      <c r="B442" t="s">
        <v>31</v>
      </c>
      <c r="C442" s="22">
        <v>45646</v>
      </c>
      <c r="D442" t="s">
        <v>42</v>
      </c>
      <c r="E442" t="s">
        <v>43</v>
      </c>
      <c r="F442">
        <v>2107</v>
      </c>
      <c r="G442">
        <v>550</v>
      </c>
      <c r="H442">
        <v>349</v>
      </c>
      <c r="I442">
        <v>35819</v>
      </c>
      <c r="J442">
        <v>35340</v>
      </c>
      <c r="K442">
        <v>191</v>
      </c>
      <c r="L442" t="s">
        <v>38</v>
      </c>
      <c r="M442" s="21">
        <v>8.3921940869371006E-2</v>
      </c>
      <c r="N442" s="21">
        <v>5.3323655043412696E-3</v>
      </c>
      <c r="O442">
        <v>3006</v>
      </c>
      <c r="P442" t="s">
        <v>44</v>
      </c>
      <c r="Q44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42" s="22">
        <f>_xlfn.XLOOKUP(TBL_Post_1[[#This Row],[Campaign_Name]],TBL_Campaign_Data_1[Campaign_Name],TBL_Campaign_Data_1[Start_Date])</f>
        <v>45570</v>
      </c>
      <c r="S442" s="22">
        <f>_xlfn.XLOOKUP(TBL_Post_1[[#This Row],[Campaign_Name]],TBL_Campaign_Data_1[Campaign_Name],TBL_Campaign_Data_1[End_Date])</f>
        <v>45601</v>
      </c>
    </row>
    <row r="443" spans="1:19">
      <c r="A443" t="s">
        <v>541</v>
      </c>
      <c r="B443" t="s">
        <v>40</v>
      </c>
      <c r="C443" s="22">
        <v>45602</v>
      </c>
      <c r="D443" t="s">
        <v>69</v>
      </c>
      <c r="E443" t="s">
        <v>70</v>
      </c>
      <c r="F443">
        <v>4663</v>
      </c>
      <c r="G443">
        <v>145</v>
      </c>
      <c r="H443">
        <v>225</v>
      </c>
      <c r="I443">
        <v>69945</v>
      </c>
      <c r="J443">
        <v>69596</v>
      </c>
      <c r="K443">
        <v>35</v>
      </c>
      <c r="L443" t="s">
        <v>25</v>
      </c>
      <c r="M443" s="21">
        <v>7.1956537279290897E-2</v>
      </c>
      <c r="N443" s="21">
        <v>5.0039316605904598E-4</v>
      </c>
      <c r="O443">
        <v>5033</v>
      </c>
      <c r="P443" t="s">
        <v>24</v>
      </c>
      <c r="Q44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43" s="22">
        <f>_xlfn.XLOOKUP(TBL_Post_1[[#This Row],[Campaign_Name]],TBL_Campaign_Data_1[Campaign_Name],TBL_Campaign_Data_1[Start_Date])</f>
        <v>45453</v>
      </c>
      <c r="S443" s="22">
        <f>_xlfn.XLOOKUP(TBL_Post_1[[#This Row],[Campaign_Name]],TBL_Campaign_Data_1[Campaign_Name],TBL_Campaign_Data_1[End_Date])</f>
        <v>45478</v>
      </c>
    </row>
    <row r="444" spans="1:19">
      <c r="A444" t="s">
        <v>542</v>
      </c>
      <c r="B444" t="s">
        <v>40</v>
      </c>
      <c r="C444" s="22">
        <v>45613</v>
      </c>
      <c r="D444" t="s">
        <v>22</v>
      </c>
      <c r="E444" t="s">
        <v>23</v>
      </c>
      <c r="F444">
        <v>880</v>
      </c>
      <c r="G444">
        <v>297</v>
      </c>
      <c r="H444">
        <v>345</v>
      </c>
      <c r="I444">
        <v>12320</v>
      </c>
      <c r="J444">
        <v>11978</v>
      </c>
      <c r="K444">
        <v>238</v>
      </c>
      <c r="L444" t="s">
        <v>25</v>
      </c>
      <c r="M444" s="21">
        <v>0.123538961038961</v>
      </c>
      <c r="N444" s="21">
        <v>1.93181818181818E-2</v>
      </c>
      <c r="O444">
        <v>1522</v>
      </c>
      <c r="P444" t="s">
        <v>18</v>
      </c>
      <c r="Q44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44" s="22">
        <f>_xlfn.XLOOKUP(TBL_Post_1[[#This Row],[Campaign_Name]],TBL_Campaign_Data_1[Campaign_Name],TBL_Campaign_Data_1[Start_Date])</f>
        <v>45453</v>
      </c>
      <c r="S444" s="22">
        <f>_xlfn.XLOOKUP(TBL_Post_1[[#This Row],[Campaign_Name]],TBL_Campaign_Data_1[Campaign_Name],TBL_Campaign_Data_1[End_Date])</f>
        <v>45478</v>
      </c>
    </row>
    <row r="445" spans="1:19">
      <c r="A445" t="s">
        <v>544</v>
      </c>
      <c r="B445" t="s">
        <v>40</v>
      </c>
      <c r="C445" s="22">
        <v>45791</v>
      </c>
      <c r="D445" t="s">
        <v>22</v>
      </c>
      <c r="E445" t="s">
        <v>23</v>
      </c>
      <c r="F445">
        <v>2634</v>
      </c>
      <c r="G445">
        <v>726</v>
      </c>
      <c r="H445">
        <v>241</v>
      </c>
      <c r="I445">
        <v>28974</v>
      </c>
      <c r="J445">
        <v>28102</v>
      </c>
      <c r="K445">
        <v>277</v>
      </c>
      <c r="L445" t="s">
        <v>38</v>
      </c>
      <c r="M445" s="21">
        <v>0.124283840684752</v>
      </c>
      <c r="N445" s="21">
        <v>9.5602954372885993E-3</v>
      </c>
      <c r="O445">
        <v>3601</v>
      </c>
      <c r="P445" t="s">
        <v>58</v>
      </c>
      <c r="Q44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45" s="22">
        <f>_xlfn.XLOOKUP(TBL_Post_1[[#This Row],[Campaign_Name]],TBL_Campaign_Data_1[Campaign_Name],TBL_Campaign_Data_1[Start_Date])</f>
        <v>45570</v>
      </c>
      <c r="S445" s="22">
        <f>_xlfn.XLOOKUP(TBL_Post_1[[#This Row],[Campaign_Name]],TBL_Campaign_Data_1[Campaign_Name],TBL_Campaign_Data_1[End_Date])</f>
        <v>45601</v>
      </c>
    </row>
    <row r="446" spans="1:19">
      <c r="A446" t="s">
        <v>546</v>
      </c>
      <c r="B446" t="s">
        <v>40</v>
      </c>
      <c r="C446" s="22">
        <v>45462</v>
      </c>
      <c r="D446" t="s">
        <v>42</v>
      </c>
      <c r="E446" t="s">
        <v>43</v>
      </c>
      <c r="F446">
        <v>4731</v>
      </c>
      <c r="G446">
        <v>173</v>
      </c>
      <c r="H446">
        <v>276</v>
      </c>
      <c r="I446">
        <v>28386</v>
      </c>
      <c r="J446">
        <v>28185</v>
      </c>
      <c r="K446">
        <v>89</v>
      </c>
      <c r="L446" t="s">
        <v>55</v>
      </c>
      <c r="M446" s="21">
        <v>0.182484323257944</v>
      </c>
      <c r="N446" s="21">
        <v>3.1353484111886101E-3</v>
      </c>
      <c r="O446">
        <v>5180</v>
      </c>
      <c r="P446" t="s">
        <v>44</v>
      </c>
      <c r="Q44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46" s="22">
        <f>_xlfn.XLOOKUP(TBL_Post_1[[#This Row],[Campaign_Name]],TBL_Campaign_Data_1[Campaign_Name],TBL_Campaign_Data_1[Start_Date])</f>
        <v>45667</v>
      </c>
      <c r="S446" s="22">
        <f>_xlfn.XLOOKUP(TBL_Post_1[[#This Row],[Campaign_Name]],TBL_Campaign_Data_1[Campaign_Name],TBL_Campaign_Data_1[End_Date])</f>
        <v>45698</v>
      </c>
    </row>
    <row r="447" spans="1:19">
      <c r="A447" t="s">
        <v>546</v>
      </c>
      <c r="B447" t="s">
        <v>40</v>
      </c>
      <c r="C447" s="22">
        <v>45462</v>
      </c>
      <c r="D447" t="s">
        <v>42</v>
      </c>
      <c r="E447" t="s">
        <v>43</v>
      </c>
      <c r="F447">
        <v>4731</v>
      </c>
      <c r="G447">
        <v>173</v>
      </c>
      <c r="H447">
        <v>276</v>
      </c>
      <c r="I447">
        <v>28386</v>
      </c>
      <c r="J447">
        <v>28185</v>
      </c>
      <c r="K447">
        <v>89</v>
      </c>
      <c r="L447" t="s">
        <v>55</v>
      </c>
      <c r="M447" s="21">
        <v>0.182484323257944</v>
      </c>
      <c r="N447" s="21">
        <v>3.1353484111886101E-3</v>
      </c>
      <c r="O447">
        <v>5180</v>
      </c>
      <c r="P447" t="s">
        <v>24</v>
      </c>
      <c r="Q44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47" s="22">
        <f>_xlfn.XLOOKUP(TBL_Post_1[[#This Row],[Campaign_Name]],TBL_Campaign_Data_1[Campaign_Name],TBL_Campaign_Data_1[Start_Date])</f>
        <v>45667</v>
      </c>
      <c r="S447" s="22">
        <f>_xlfn.XLOOKUP(TBL_Post_1[[#This Row],[Campaign_Name]],TBL_Campaign_Data_1[Campaign_Name],TBL_Campaign_Data_1[End_Date])</f>
        <v>45698</v>
      </c>
    </row>
    <row r="448" spans="1:19">
      <c r="A448" t="s">
        <v>548</v>
      </c>
      <c r="B448" t="s">
        <v>14</v>
      </c>
      <c r="C448" s="22">
        <v>45783</v>
      </c>
      <c r="D448" t="s">
        <v>49</v>
      </c>
      <c r="E448" t="s">
        <v>50</v>
      </c>
      <c r="F448">
        <v>1952</v>
      </c>
      <c r="G448">
        <v>344</v>
      </c>
      <c r="H448">
        <v>287</v>
      </c>
      <c r="I448">
        <v>15616</v>
      </c>
      <c r="J448">
        <v>15403</v>
      </c>
      <c r="K448">
        <v>235</v>
      </c>
      <c r="L448" t="s">
        <v>38</v>
      </c>
      <c r="M448" s="21">
        <v>0.16540727459016399</v>
      </c>
      <c r="N448" s="21">
        <v>1.5048668032786899E-2</v>
      </c>
      <c r="O448">
        <v>2583</v>
      </c>
      <c r="P448" t="s">
        <v>18</v>
      </c>
      <c r="Q448"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48" s="22">
        <f>_xlfn.XLOOKUP(TBL_Post_1[[#This Row],[Campaign_Name]],TBL_Campaign_Data_1[Campaign_Name],TBL_Campaign_Data_1[Start_Date])</f>
        <v>45570</v>
      </c>
      <c r="S448" s="22">
        <f>_xlfn.XLOOKUP(TBL_Post_1[[#This Row],[Campaign_Name]],TBL_Campaign_Data_1[Campaign_Name],TBL_Campaign_Data_1[End_Date])</f>
        <v>45601</v>
      </c>
    </row>
    <row r="449" spans="1:19">
      <c r="A449" t="s">
        <v>548</v>
      </c>
      <c r="B449" t="s">
        <v>14</v>
      </c>
      <c r="C449" s="22">
        <v>45783</v>
      </c>
      <c r="D449" t="s">
        <v>49</v>
      </c>
      <c r="E449" t="s">
        <v>50</v>
      </c>
      <c r="F449">
        <v>1952</v>
      </c>
      <c r="G449">
        <v>344</v>
      </c>
      <c r="H449">
        <v>287</v>
      </c>
      <c r="I449">
        <v>15616</v>
      </c>
      <c r="J449">
        <v>15403</v>
      </c>
      <c r="K449">
        <v>235</v>
      </c>
      <c r="L449" t="s">
        <v>38</v>
      </c>
      <c r="M449" s="21">
        <v>0.16540727459016399</v>
      </c>
      <c r="N449" s="21">
        <v>1.5048668032786899E-2</v>
      </c>
      <c r="O449">
        <v>2583</v>
      </c>
      <c r="P449" t="s">
        <v>24</v>
      </c>
      <c r="Q449"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49" s="22">
        <f>_xlfn.XLOOKUP(TBL_Post_1[[#This Row],[Campaign_Name]],TBL_Campaign_Data_1[Campaign_Name],TBL_Campaign_Data_1[Start_Date])</f>
        <v>45570</v>
      </c>
      <c r="S449" s="22">
        <f>_xlfn.XLOOKUP(TBL_Post_1[[#This Row],[Campaign_Name]],TBL_Campaign_Data_1[Campaign_Name],TBL_Campaign_Data_1[End_Date])</f>
        <v>45601</v>
      </c>
    </row>
    <row r="450" spans="1:19">
      <c r="A450" t="s">
        <v>549</v>
      </c>
      <c r="B450" t="s">
        <v>14</v>
      </c>
      <c r="C450" s="22">
        <v>45699</v>
      </c>
      <c r="D450" t="s">
        <v>69</v>
      </c>
      <c r="E450" t="s">
        <v>70</v>
      </c>
      <c r="F450">
        <v>3440</v>
      </c>
      <c r="G450">
        <v>13</v>
      </c>
      <c r="H450">
        <v>20</v>
      </c>
      <c r="I450">
        <v>58480</v>
      </c>
      <c r="J450">
        <v>58146</v>
      </c>
      <c r="K450">
        <v>210</v>
      </c>
      <c r="L450" t="s">
        <v>19</v>
      </c>
      <c r="M450" s="21">
        <v>5.9387824897400798E-2</v>
      </c>
      <c r="N450" s="21">
        <v>3.5909712722298199E-3</v>
      </c>
      <c r="O450">
        <v>3473</v>
      </c>
      <c r="P450" t="s">
        <v>24</v>
      </c>
      <c r="Q450"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50" s="22">
        <f>_xlfn.XLOOKUP(TBL_Post_1[[#This Row],[Campaign_Name]],TBL_Campaign_Data_1[Campaign_Name],TBL_Campaign_Data_1[Start_Date])</f>
        <v>45505</v>
      </c>
      <c r="S450" s="22">
        <f>_xlfn.XLOOKUP(TBL_Post_1[[#This Row],[Campaign_Name]],TBL_Campaign_Data_1[Campaign_Name],TBL_Campaign_Data_1[End_Date])</f>
        <v>45535</v>
      </c>
    </row>
    <row r="451" spans="1:19">
      <c r="A451" t="s">
        <v>549</v>
      </c>
      <c r="B451" t="s">
        <v>14</v>
      </c>
      <c r="C451" s="22">
        <v>45699</v>
      </c>
      <c r="D451" t="s">
        <v>69</v>
      </c>
      <c r="E451" t="s">
        <v>70</v>
      </c>
      <c r="F451">
        <v>3440</v>
      </c>
      <c r="G451">
        <v>13</v>
      </c>
      <c r="H451">
        <v>20</v>
      </c>
      <c r="I451">
        <v>58480</v>
      </c>
      <c r="J451">
        <v>58146</v>
      </c>
      <c r="K451">
        <v>210</v>
      </c>
      <c r="L451" t="s">
        <v>19</v>
      </c>
      <c r="M451" s="21">
        <v>5.9387824897400798E-2</v>
      </c>
      <c r="N451" s="21">
        <v>3.5909712722298199E-3</v>
      </c>
      <c r="O451">
        <v>3473</v>
      </c>
      <c r="P451" t="s">
        <v>77</v>
      </c>
      <c r="Q451"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51" s="22">
        <f>_xlfn.XLOOKUP(TBL_Post_1[[#This Row],[Campaign_Name]],TBL_Campaign_Data_1[Campaign_Name],TBL_Campaign_Data_1[Start_Date])</f>
        <v>45505</v>
      </c>
      <c r="S451" s="22">
        <f>_xlfn.XLOOKUP(TBL_Post_1[[#This Row],[Campaign_Name]],TBL_Campaign_Data_1[Campaign_Name],TBL_Campaign_Data_1[End_Date])</f>
        <v>45535</v>
      </c>
    </row>
    <row r="452" spans="1:19">
      <c r="A452" t="s">
        <v>551</v>
      </c>
      <c r="B452" t="s">
        <v>14</v>
      </c>
      <c r="C452" s="22">
        <v>45650</v>
      </c>
      <c r="D452" t="s">
        <v>22</v>
      </c>
      <c r="E452" t="s">
        <v>23</v>
      </c>
      <c r="F452">
        <v>2166</v>
      </c>
      <c r="G452">
        <v>354</v>
      </c>
      <c r="H452">
        <v>117</v>
      </c>
      <c r="I452">
        <v>10830</v>
      </c>
      <c r="J452">
        <v>10245</v>
      </c>
      <c r="K452">
        <v>24</v>
      </c>
      <c r="L452" t="s">
        <v>19</v>
      </c>
      <c r="M452" s="21">
        <v>0.24349030470914099</v>
      </c>
      <c r="N452" s="21">
        <v>2.21606648199446E-3</v>
      </c>
      <c r="O452">
        <v>2637</v>
      </c>
      <c r="P452" t="s">
        <v>58</v>
      </c>
      <c r="Q452"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52" s="22">
        <f>_xlfn.XLOOKUP(TBL_Post_1[[#This Row],[Campaign_Name]],TBL_Campaign_Data_1[Campaign_Name],TBL_Campaign_Data_1[Start_Date])</f>
        <v>45505</v>
      </c>
      <c r="S452" s="22">
        <f>_xlfn.XLOOKUP(TBL_Post_1[[#This Row],[Campaign_Name]],TBL_Campaign_Data_1[Campaign_Name],TBL_Campaign_Data_1[End_Date])</f>
        <v>45535</v>
      </c>
    </row>
    <row r="453" spans="1:19">
      <c r="A453" t="s">
        <v>551</v>
      </c>
      <c r="B453" t="s">
        <v>14</v>
      </c>
      <c r="C453" s="22">
        <v>45650</v>
      </c>
      <c r="D453" t="s">
        <v>22</v>
      </c>
      <c r="E453" t="s">
        <v>23</v>
      </c>
      <c r="F453">
        <v>2166</v>
      </c>
      <c r="G453">
        <v>354</v>
      </c>
      <c r="H453">
        <v>117</v>
      </c>
      <c r="I453">
        <v>10830</v>
      </c>
      <c r="J453">
        <v>10245</v>
      </c>
      <c r="K453">
        <v>24</v>
      </c>
      <c r="L453" t="s">
        <v>19</v>
      </c>
      <c r="M453" s="21">
        <v>0.24349030470914099</v>
      </c>
      <c r="N453" s="21">
        <v>2.21606648199446E-3</v>
      </c>
      <c r="O453">
        <v>2637</v>
      </c>
      <c r="P453" t="s">
        <v>44</v>
      </c>
      <c r="Q453"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53" s="22">
        <f>_xlfn.XLOOKUP(TBL_Post_1[[#This Row],[Campaign_Name]],TBL_Campaign_Data_1[Campaign_Name],TBL_Campaign_Data_1[Start_Date])</f>
        <v>45505</v>
      </c>
      <c r="S453" s="22">
        <f>_xlfn.XLOOKUP(TBL_Post_1[[#This Row],[Campaign_Name]],TBL_Campaign_Data_1[Campaign_Name],TBL_Campaign_Data_1[End_Date])</f>
        <v>45535</v>
      </c>
    </row>
    <row r="454" spans="1:19">
      <c r="A454" t="s">
        <v>553</v>
      </c>
      <c r="B454" t="s">
        <v>40</v>
      </c>
      <c r="C454" s="22">
        <v>45589</v>
      </c>
      <c r="D454" t="s">
        <v>49</v>
      </c>
      <c r="E454" t="s">
        <v>50</v>
      </c>
      <c r="F454">
        <v>4303</v>
      </c>
      <c r="G454">
        <v>451</v>
      </c>
      <c r="H454">
        <v>286</v>
      </c>
      <c r="I454">
        <v>86060</v>
      </c>
      <c r="J454">
        <v>85823</v>
      </c>
      <c r="K454">
        <v>14</v>
      </c>
      <c r="L454" t="s">
        <v>25</v>
      </c>
      <c r="M454" s="21">
        <v>5.8563792702765502E-2</v>
      </c>
      <c r="N454" s="21">
        <v>1.6267720195212599E-4</v>
      </c>
      <c r="O454">
        <v>5040</v>
      </c>
      <c r="P454" t="s">
        <v>18</v>
      </c>
      <c r="Q454"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54" s="22">
        <f>_xlfn.XLOOKUP(TBL_Post_1[[#This Row],[Campaign_Name]],TBL_Campaign_Data_1[Campaign_Name],TBL_Campaign_Data_1[Start_Date])</f>
        <v>45453</v>
      </c>
      <c r="S454" s="22">
        <f>_xlfn.XLOOKUP(TBL_Post_1[[#This Row],[Campaign_Name]],TBL_Campaign_Data_1[Campaign_Name],TBL_Campaign_Data_1[End_Date])</f>
        <v>45478</v>
      </c>
    </row>
    <row r="455" spans="1:19">
      <c r="A455" t="s">
        <v>554</v>
      </c>
      <c r="B455" t="s">
        <v>40</v>
      </c>
      <c r="C455" s="22">
        <v>45530</v>
      </c>
      <c r="D455" t="s">
        <v>49</v>
      </c>
      <c r="E455" t="s">
        <v>50</v>
      </c>
      <c r="F455">
        <v>2581</v>
      </c>
      <c r="G455">
        <v>517</v>
      </c>
      <c r="H455">
        <v>117</v>
      </c>
      <c r="I455">
        <v>23229</v>
      </c>
      <c r="J455">
        <v>22331</v>
      </c>
      <c r="K455">
        <v>70</v>
      </c>
      <c r="L455" t="s">
        <v>25</v>
      </c>
      <c r="M455" s="21">
        <v>0.138404580481295</v>
      </c>
      <c r="N455" s="21">
        <v>3.0134745361401699E-3</v>
      </c>
      <c r="O455">
        <v>3215</v>
      </c>
      <c r="P455" t="s">
        <v>18</v>
      </c>
      <c r="Q455"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55" s="22">
        <f>_xlfn.XLOOKUP(TBL_Post_1[[#This Row],[Campaign_Name]],TBL_Campaign_Data_1[Campaign_Name],TBL_Campaign_Data_1[Start_Date])</f>
        <v>45453</v>
      </c>
      <c r="S455" s="22">
        <f>_xlfn.XLOOKUP(TBL_Post_1[[#This Row],[Campaign_Name]],TBL_Campaign_Data_1[Campaign_Name],TBL_Campaign_Data_1[End_Date])</f>
        <v>45478</v>
      </c>
    </row>
    <row r="456" spans="1:19">
      <c r="A456" t="s">
        <v>554</v>
      </c>
      <c r="B456" t="s">
        <v>40</v>
      </c>
      <c r="C456" s="22">
        <v>45530</v>
      </c>
      <c r="D456" t="s">
        <v>49</v>
      </c>
      <c r="E456" t="s">
        <v>50</v>
      </c>
      <c r="F456">
        <v>2581</v>
      </c>
      <c r="G456">
        <v>517</v>
      </c>
      <c r="H456">
        <v>117</v>
      </c>
      <c r="I456">
        <v>23229</v>
      </c>
      <c r="J456">
        <v>22331</v>
      </c>
      <c r="K456">
        <v>70</v>
      </c>
      <c r="L456" t="s">
        <v>25</v>
      </c>
      <c r="M456" s="21">
        <v>0.138404580481295</v>
      </c>
      <c r="N456" s="21">
        <v>3.0134745361401699E-3</v>
      </c>
      <c r="O456">
        <v>3215</v>
      </c>
      <c r="P456" t="s">
        <v>58</v>
      </c>
      <c r="Q456"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Outside</v>
      </c>
      <c r="R456" s="22">
        <f>_xlfn.XLOOKUP(TBL_Post_1[[#This Row],[Campaign_Name]],TBL_Campaign_Data_1[Campaign_Name],TBL_Campaign_Data_1[Start_Date])</f>
        <v>45453</v>
      </c>
      <c r="S456" s="22">
        <f>_xlfn.XLOOKUP(TBL_Post_1[[#This Row],[Campaign_Name]],TBL_Campaign_Data_1[Campaign_Name],TBL_Campaign_Data_1[End_Date])</f>
        <v>45478</v>
      </c>
    </row>
    <row r="457" spans="1:19">
      <c r="A457" t="s">
        <v>555</v>
      </c>
      <c r="B457" t="s">
        <v>14</v>
      </c>
      <c r="C457" s="22">
        <v>45535</v>
      </c>
      <c r="D457" t="s">
        <v>42</v>
      </c>
      <c r="E457" t="s">
        <v>43</v>
      </c>
      <c r="F457">
        <v>4494</v>
      </c>
      <c r="G457">
        <v>717</v>
      </c>
      <c r="H457">
        <v>45</v>
      </c>
      <c r="I457">
        <v>62916</v>
      </c>
      <c r="J457">
        <v>62688</v>
      </c>
      <c r="K457">
        <v>191</v>
      </c>
      <c r="L457" t="s">
        <v>19</v>
      </c>
      <c r="M457" s="21">
        <v>8.3539958039290499E-2</v>
      </c>
      <c r="N457" s="21">
        <v>3.0357937567550399E-3</v>
      </c>
      <c r="O457">
        <v>5256</v>
      </c>
      <c r="P457" t="s">
        <v>24</v>
      </c>
      <c r="Q457" t="str">
        <f>IF(AND(TBL_Post_1[[#This Row],[Date]] &gt;= TBL_Post_1[[#This Row],[Campaign StartDate]], TBL_Post_1[[#This Row],[Date]] &lt;= TBL_Post_1[[#This Row],[Campaign EndDate]]), "During", IF(AND(TBL_Post_1[[#This Row],[Date]] &gt;= TBL_Post_1[[#This Row],[Campaign StartDate]]-14, TBL_Post_1[[#This Row],[Date]] &lt; TBL_Post_1[[#This Row],[Campaign StartDate]]), "Before", "Outside"))</f>
        <v>During</v>
      </c>
      <c r="R457" s="22">
        <f>_xlfn.XLOOKUP(TBL_Post_1[[#This Row],[Campaign_Name]],TBL_Campaign_Data_1[Campaign_Name],TBL_Campaign_Data_1[Start_Date])</f>
        <v>45505</v>
      </c>
      <c r="S457" s="22">
        <f>_xlfn.XLOOKUP(TBL_Post_1[[#This Row],[Campaign_Name]],TBL_Campaign_Data_1[Campaign_Name],TBL_Campaign_Data_1[End_Date])</f>
        <v>45535</v>
      </c>
    </row>
  </sheetData>
  <phoneticPr fontId="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F5F85-CF36-4145-9DA5-BF195E53A6CB}">
  <sheetPr codeName="Sheet6"/>
  <dimension ref="A1:K201"/>
  <sheetViews>
    <sheetView workbookViewId="0">
      <pane xSplit="17" ySplit="1" topLeftCell="R2" activePane="bottomRight" state="frozen"/>
      <selection activeCell="B29" sqref="B29"/>
      <selection pane="topRight" activeCell="B29" sqref="B29"/>
      <selection pane="bottomLeft" activeCell="B29" sqref="B29"/>
      <selection pane="bottomRight" activeCell="B29" sqref="B29"/>
    </sheetView>
  </sheetViews>
  <sheetFormatPr defaultRowHeight="14.4"/>
  <cols>
    <col min="1" max="1" width="18" bestFit="1" customWidth="1"/>
    <col min="2" max="2" width="10.5546875" bestFit="1" customWidth="1"/>
    <col min="3" max="3" width="16" bestFit="1" customWidth="1"/>
    <col min="4" max="4" width="11.6640625" bestFit="1" customWidth="1"/>
    <col min="5" max="5" width="16.44140625" bestFit="1" customWidth="1"/>
    <col min="6" max="6" width="18.6640625" bestFit="1" customWidth="1"/>
    <col min="7" max="7" width="11.88671875" bestFit="1" customWidth="1"/>
    <col min="8" max="8" width="20" bestFit="1" customWidth="1"/>
    <col min="9" max="9" width="11.21875" bestFit="1" customWidth="1"/>
    <col min="10" max="10" width="26.5546875" bestFit="1" customWidth="1"/>
    <col min="11" max="11" width="18" style="22" bestFit="1" customWidth="1"/>
    <col min="12" max="12" width="10.5546875" bestFit="1" customWidth="1"/>
    <col min="13" max="13" width="16" bestFit="1" customWidth="1"/>
    <col min="14" max="14" width="11.6640625" bestFit="1" customWidth="1"/>
    <col min="15" max="15" width="16.44140625" bestFit="1" customWidth="1"/>
    <col min="16" max="16" width="18.6640625" bestFit="1" customWidth="1"/>
    <col min="17" max="17" width="11.88671875" bestFit="1" customWidth="1"/>
    <col min="18" max="18" width="20" bestFit="1" customWidth="1"/>
    <col min="20" max="20" width="13.109375" customWidth="1"/>
  </cols>
  <sheetData>
    <row r="1" spans="1:11" ht="21.6" customHeight="1">
      <c r="A1" t="s">
        <v>556</v>
      </c>
      <c r="B1" t="s">
        <v>1</v>
      </c>
      <c r="C1" t="s">
        <v>557</v>
      </c>
      <c r="D1" t="s">
        <v>558</v>
      </c>
      <c r="E1" t="s">
        <v>559</v>
      </c>
      <c r="F1" t="s">
        <v>560</v>
      </c>
      <c r="G1" t="s">
        <v>561</v>
      </c>
      <c r="H1" t="s">
        <v>596</v>
      </c>
      <c r="I1" t="s">
        <v>636</v>
      </c>
      <c r="K1"/>
    </row>
    <row r="2" spans="1:11">
      <c r="A2" s="73">
        <v>45789</v>
      </c>
      <c r="B2" t="s">
        <v>40</v>
      </c>
      <c r="C2">
        <v>837</v>
      </c>
      <c r="D2">
        <v>430</v>
      </c>
      <c r="E2">
        <v>364820</v>
      </c>
      <c r="F2">
        <v>4</v>
      </c>
      <c r="G2">
        <v>49400</v>
      </c>
      <c r="H2">
        <v>407</v>
      </c>
      <c r="I2" t="s">
        <v>637</v>
      </c>
      <c r="K2"/>
    </row>
    <row r="3" spans="1:11">
      <c r="A3" s="73">
        <v>45782</v>
      </c>
      <c r="B3" t="s">
        <v>40</v>
      </c>
      <c r="C3">
        <v>405</v>
      </c>
      <c r="D3">
        <v>66</v>
      </c>
      <c r="E3">
        <v>418696</v>
      </c>
      <c r="F3">
        <v>5.59</v>
      </c>
      <c r="G3">
        <v>48419</v>
      </c>
      <c r="H3">
        <v>339</v>
      </c>
      <c r="I3" t="s">
        <v>637</v>
      </c>
      <c r="K3"/>
    </row>
    <row r="4" spans="1:11">
      <c r="A4" s="73">
        <v>45775</v>
      </c>
      <c r="B4" t="s">
        <v>40</v>
      </c>
      <c r="C4">
        <v>833</v>
      </c>
      <c r="D4">
        <v>380</v>
      </c>
      <c r="E4">
        <v>224830</v>
      </c>
      <c r="F4">
        <v>3.86</v>
      </c>
      <c r="G4">
        <v>3582</v>
      </c>
      <c r="H4">
        <v>453</v>
      </c>
      <c r="I4" t="s">
        <v>638</v>
      </c>
      <c r="K4"/>
    </row>
    <row r="5" spans="1:11">
      <c r="A5" s="73">
        <v>45768</v>
      </c>
      <c r="B5" t="s">
        <v>40</v>
      </c>
      <c r="C5">
        <v>1375</v>
      </c>
      <c r="D5">
        <v>330</v>
      </c>
      <c r="E5">
        <v>377382</v>
      </c>
      <c r="F5">
        <v>2.6</v>
      </c>
      <c r="G5">
        <v>7875</v>
      </c>
      <c r="H5">
        <v>1045</v>
      </c>
      <c r="I5" t="s">
        <v>638</v>
      </c>
      <c r="K5"/>
    </row>
    <row r="6" spans="1:11">
      <c r="A6" s="73">
        <v>45761</v>
      </c>
      <c r="B6" t="s">
        <v>40</v>
      </c>
      <c r="C6">
        <v>198</v>
      </c>
      <c r="D6">
        <v>373</v>
      </c>
      <c r="E6">
        <v>70707</v>
      </c>
      <c r="F6">
        <v>4.83</v>
      </c>
      <c r="G6">
        <v>25920</v>
      </c>
      <c r="H6">
        <v>-175</v>
      </c>
      <c r="I6" t="s">
        <v>638</v>
      </c>
      <c r="K6"/>
    </row>
    <row r="7" spans="1:11">
      <c r="A7" s="73">
        <v>45754</v>
      </c>
      <c r="B7" t="s">
        <v>40</v>
      </c>
      <c r="C7">
        <v>1307</v>
      </c>
      <c r="D7">
        <v>278</v>
      </c>
      <c r="E7">
        <v>98596</v>
      </c>
      <c r="F7">
        <v>2.4900000000000002</v>
      </c>
      <c r="G7">
        <v>47603</v>
      </c>
      <c r="H7">
        <v>1029</v>
      </c>
      <c r="I7" t="s">
        <v>638</v>
      </c>
      <c r="K7"/>
    </row>
    <row r="8" spans="1:11">
      <c r="A8" s="73">
        <v>45747</v>
      </c>
      <c r="B8" t="s">
        <v>40</v>
      </c>
      <c r="C8">
        <v>988</v>
      </c>
      <c r="D8">
        <v>474</v>
      </c>
      <c r="E8">
        <v>370070</v>
      </c>
      <c r="F8">
        <v>9.4600000000000009</v>
      </c>
      <c r="G8">
        <v>23461</v>
      </c>
      <c r="H8">
        <v>514</v>
      </c>
      <c r="I8" t="s">
        <v>639</v>
      </c>
      <c r="K8"/>
    </row>
    <row r="9" spans="1:11">
      <c r="A9" s="73">
        <v>45740</v>
      </c>
      <c r="B9" t="s">
        <v>40</v>
      </c>
      <c r="C9">
        <v>609</v>
      </c>
      <c r="D9">
        <v>135</v>
      </c>
      <c r="E9">
        <v>373606</v>
      </c>
      <c r="F9">
        <v>8.52</v>
      </c>
      <c r="G9">
        <v>21453</v>
      </c>
      <c r="H9">
        <v>474</v>
      </c>
      <c r="I9" t="s">
        <v>639</v>
      </c>
      <c r="K9"/>
    </row>
    <row r="10" spans="1:11">
      <c r="A10" s="73">
        <v>45733</v>
      </c>
      <c r="B10" t="s">
        <v>40</v>
      </c>
      <c r="C10">
        <v>1358</v>
      </c>
      <c r="D10">
        <v>242</v>
      </c>
      <c r="E10">
        <v>342129</v>
      </c>
      <c r="F10">
        <v>4.9400000000000004</v>
      </c>
      <c r="G10">
        <v>29116</v>
      </c>
      <c r="H10">
        <v>1116</v>
      </c>
      <c r="I10" t="s">
        <v>639</v>
      </c>
      <c r="K10"/>
    </row>
    <row r="11" spans="1:11">
      <c r="A11" s="73">
        <v>45726</v>
      </c>
      <c r="B11" t="s">
        <v>40</v>
      </c>
      <c r="C11">
        <v>1098</v>
      </c>
      <c r="D11">
        <v>190</v>
      </c>
      <c r="E11">
        <v>340842</v>
      </c>
      <c r="F11">
        <v>9.39</v>
      </c>
      <c r="G11">
        <v>21539</v>
      </c>
      <c r="H11">
        <v>908</v>
      </c>
      <c r="I11" t="s">
        <v>639</v>
      </c>
      <c r="K11"/>
    </row>
    <row r="12" spans="1:11">
      <c r="A12" s="73">
        <v>45719</v>
      </c>
      <c r="B12" t="s">
        <v>40</v>
      </c>
      <c r="C12">
        <v>345</v>
      </c>
      <c r="D12">
        <v>464</v>
      </c>
      <c r="E12">
        <v>366881</v>
      </c>
      <c r="F12">
        <v>4.55</v>
      </c>
      <c r="G12">
        <v>20553</v>
      </c>
      <c r="H12">
        <v>-119</v>
      </c>
      <c r="I12" t="s">
        <v>639</v>
      </c>
      <c r="K12"/>
    </row>
    <row r="13" spans="1:11">
      <c r="A13" s="73">
        <v>45712</v>
      </c>
      <c r="B13" t="s">
        <v>40</v>
      </c>
      <c r="C13">
        <v>1884</v>
      </c>
      <c r="D13">
        <v>177</v>
      </c>
      <c r="E13">
        <v>230448</v>
      </c>
      <c r="F13">
        <v>7.8</v>
      </c>
      <c r="G13">
        <v>22713</v>
      </c>
      <c r="H13">
        <v>1707</v>
      </c>
      <c r="I13" t="s">
        <v>640</v>
      </c>
      <c r="K13"/>
    </row>
    <row r="14" spans="1:11">
      <c r="A14" s="73">
        <v>45705</v>
      </c>
      <c r="B14" t="s">
        <v>40</v>
      </c>
      <c r="C14">
        <v>1895</v>
      </c>
      <c r="D14">
        <v>305</v>
      </c>
      <c r="E14">
        <v>104967</v>
      </c>
      <c r="F14">
        <v>3.85</v>
      </c>
      <c r="G14">
        <v>31853</v>
      </c>
      <c r="H14">
        <v>1590</v>
      </c>
      <c r="I14" t="s">
        <v>640</v>
      </c>
      <c r="K14"/>
    </row>
    <row r="15" spans="1:11">
      <c r="A15" s="73">
        <v>45698</v>
      </c>
      <c r="B15" t="s">
        <v>40</v>
      </c>
      <c r="C15">
        <v>1294</v>
      </c>
      <c r="D15">
        <v>382</v>
      </c>
      <c r="E15">
        <v>309914</v>
      </c>
      <c r="F15">
        <v>8.0299999999999994</v>
      </c>
      <c r="G15">
        <v>23489</v>
      </c>
      <c r="H15">
        <v>912</v>
      </c>
      <c r="I15" t="s">
        <v>640</v>
      </c>
      <c r="K15"/>
    </row>
    <row r="16" spans="1:11">
      <c r="A16" s="73">
        <v>45691</v>
      </c>
      <c r="B16" t="s">
        <v>40</v>
      </c>
      <c r="C16">
        <v>1159</v>
      </c>
      <c r="D16">
        <v>411</v>
      </c>
      <c r="E16">
        <v>135987</v>
      </c>
      <c r="F16">
        <v>8.6999999999999993</v>
      </c>
      <c r="G16">
        <v>40323</v>
      </c>
      <c r="H16">
        <v>748</v>
      </c>
      <c r="I16" t="s">
        <v>640</v>
      </c>
      <c r="K16"/>
    </row>
    <row r="17" spans="1:11">
      <c r="A17" s="73">
        <v>45684</v>
      </c>
      <c r="B17" t="s">
        <v>40</v>
      </c>
      <c r="C17">
        <v>1249</v>
      </c>
      <c r="D17">
        <v>351</v>
      </c>
      <c r="E17">
        <v>321307</v>
      </c>
      <c r="F17">
        <v>6.37</v>
      </c>
      <c r="G17">
        <v>20560</v>
      </c>
      <c r="H17">
        <v>898</v>
      </c>
      <c r="I17" t="s">
        <v>641</v>
      </c>
      <c r="K17"/>
    </row>
    <row r="18" spans="1:11">
      <c r="A18" s="73">
        <v>45677</v>
      </c>
      <c r="B18" t="s">
        <v>40</v>
      </c>
      <c r="C18">
        <v>663</v>
      </c>
      <c r="D18">
        <v>236</v>
      </c>
      <c r="E18">
        <v>479490</v>
      </c>
      <c r="F18">
        <v>4.51</v>
      </c>
      <c r="G18">
        <v>23853</v>
      </c>
      <c r="H18">
        <v>427</v>
      </c>
      <c r="I18" t="s">
        <v>641</v>
      </c>
      <c r="K18"/>
    </row>
    <row r="19" spans="1:11">
      <c r="A19" s="73">
        <v>45670</v>
      </c>
      <c r="B19" t="s">
        <v>40</v>
      </c>
      <c r="C19">
        <v>651</v>
      </c>
      <c r="D19">
        <v>353</v>
      </c>
      <c r="E19">
        <v>224699</v>
      </c>
      <c r="F19">
        <v>5.61</v>
      </c>
      <c r="G19">
        <v>45708</v>
      </c>
      <c r="H19">
        <v>298</v>
      </c>
      <c r="I19" t="s">
        <v>641</v>
      </c>
      <c r="K19"/>
    </row>
    <row r="20" spans="1:11">
      <c r="A20" s="73">
        <v>45663</v>
      </c>
      <c r="B20" t="s">
        <v>40</v>
      </c>
      <c r="C20">
        <v>816</v>
      </c>
      <c r="D20">
        <v>196</v>
      </c>
      <c r="E20">
        <v>95728</v>
      </c>
      <c r="F20">
        <v>8.1999999999999993</v>
      </c>
      <c r="G20">
        <v>17951</v>
      </c>
      <c r="H20">
        <v>620</v>
      </c>
      <c r="I20" t="s">
        <v>641</v>
      </c>
      <c r="K20"/>
    </row>
    <row r="21" spans="1:11">
      <c r="A21" s="73">
        <v>45656</v>
      </c>
      <c r="B21" t="s">
        <v>40</v>
      </c>
      <c r="C21">
        <v>1980</v>
      </c>
      <c r="D21">
        <v>204</v>
      </c>
      <c r="E21">
        <v>379431</v>
      </c>
      <c r="F21">
        <v>3.09</v>
      </c>
      <c r="G21">
        <v>25140</v>
      </c>
      <c r="H21">
        <v>1776</v>
      </c>
      <c r="I21" t="s">
        <v>642</v>
      </c>
      <c r="K21"/>
    </row>
    <row r="22" spans="1:11">
      <c r="A22" s="73">
        <v>45649</v>
      </c>
      <c r="B22" t="s">
        <v>40</v>
      </c>
      <c r="C22">
        <v>1155</v>
      </c>
      <c r="D22">
        <v>425</v>
      </c>
      <c r="E22">
        <v>93347</v>
      </c>
      <c r="F22">
        <v>2.02</v>
      </c>
      <c r="G22">
        <v>47502</v>
      </c>
      <c r="H22">
        <v>730</v>
      </c>
      <c r="I22" t="s">
        <v>642</v>
      </c>
      <c r="K22"/>
    </row>
    <row r="23" spans="1:11">
      <c r="A23" s="73">
        <v>45642</v>
      </c>
      <c r="B23" t="s">
        <v>40</v>
      </c>
      <c r="C23">
        <v>1623</v>
      </c>
      <c r="D23">
        <v>246</v>
      </c>
      <c r="E23">
        <v>415815</v>
      </c>
      <c r="F23">
        <v>8.11</v>
      </c>
      <c r="G23">
        <v>18656</v>
      </c>
      <c r="H23">
        <v>1377</v>
      </c>
      <c r="I23" t="s">
        <v>642</v>
      </c>
      <c r="K23"/>
    </row>
    <row r="24" spans="1:11">
      <c r="A24" s="73">
        <v>45635</v>
      </c>
      <c r="B24" t="s">
        <v>40</v>
      </c>
      <c r="C24">
        <v>1514</v>
      </c>
      <c r="D24">
        <v>141</v>
      </c>
      <c r="E24">
        <v>35842</v>
      </c>
      <c r="F24">
        <v>7.47</v>
      </c>
      <c r="G24">
        <v>18601</v>
      </c>
      <c r="H24">
        <v>1373</v>
      </c>
      <c r="I24" t="s">
        <v>642</v>
      </c>
      <c r="K24"/>
    </row>
    <row r="25" spans="1:11">
      <c r="A25" s="73">
        <v>45628</v>
      </c>
      <c r="B25" t="s">
        <v>40</v>
      </c>
      <c r="C25">
        <v>1902</v>
      </c>
      <c r="D25">
        <v>196</v>
      </c>
      <c r="E25">
        <v>470269</v>
      </c>
      <c r="F25">
        <v>4.79</v>
      </c>
      <c r="G25">
        <v>26103</v>
      </c>
      <c r="H25">
        <v>1706</v>
      </c>
      <c r="I25" t="s">
        <v>642</v>
      </c>
      <c r="K25"/>
    </row>
    <row r="26" spans="1:11">
      <c r="A26" s="73">
        <v>45621</v>
      </c>
      <c r="B26" t="s">
        <v>40</v>
      </c>
      <c r="C26">
        <v>1710</v>
      </c>
      <c r="D26">
        <v>378</v>
      </c>
      <c r="E26">
        <v>336661</v>
      </c>
      <c r="F26">
        <v>6.2</v>
      </c>
      <c r="G26">
        <v>28498</v>
      </c>
      <c r="H26">
        <v>1332</v>
      </c>
      <c r="I26" t="s">
        <v>643</v>
      </c>
      <c r="K26"/>
    </row>
    <row r="27" spans="1:11">
      <c r="A27" s="73">
        <v>45614</v>
      </c>
      <c r="B27" t="s">
        <v>40</v>
      </c>
      <c r="C27">
        <v>513</v>
      </c>
      <c r="D27">
        <v>441</v>
      </c>
      <c r="E27">
        <v>338847</v>
      </c>
      <c r="F27">
        <v>2.68</v>
      </c>
      <c r="G27">
        <v>39997</v>
      </c>
      <c r="H27">
        <v>72</v>
      </c>
      <c r="I27" t="s">
        <v>643</v>
      </c>
      <c r="K27"/>
    </row>
    <row r="28" spans="1:11">
      <c r="A28" s="73">
        <v>45607</v>
      </c>
      <c r="B28" t="s">
        <v>40</v>
      </c>
      <c r="C28">
        <v>171</v>
      </c>
      <c r="D28">
        <v>277</v>
      </c>
      <c r="E28">
        <v>309483</v>
      </c>
      <c r="F28">
        <v>8.6999999999999993</v>
      </c>
      <c r="G28">
        <v>38452</v>
      </c>
      <c r="H28">
        <v>-106</v>
      </c>
      <c r="I28" t="s">
        <v>643</v>
      </c>
      <c r="K28"/>
    </row>
    <row r="29" spans="1:11">
      <c r="A29" s="73">
        <v>45600</v>
      </c>
      <c r="B29" t="s">
        <v>40</v>
      </c>
      <c r="C29">
        <v>947</v>
      </c>
      <c r="D29">
        <v>407</v>
      </c>
      <c r="E29">
        <v>319186</v>
      </c>
      <c r="F29">
        <v>3.32</v>
      </c>
      <c r="G29">
        <v>4996</v>
      </c>
      <c r="H29">
        <v>540</v>
      </c>
      <c r="I29" t="s">
        <v>643</v>
      </c>
      <c r="K29"/>
    </row>
    <row r="30" spans="1:11">
      <c r="A30" s="73">
        <v>45593</v>
      </c>
      <c r="B30" t="s">
        <v>40</v>
      </c>
      <c r="C30">
        <v>859</v>
      </c>
      <c r="D30">
        <v>473</v>
      </c>
      <c r="E30">
        <v>209987</v>
      </c>
      <c r="F30">
        <v>4.46</v>
      </c>
      <c r="G30">
        <v>30214</v>
      </c>
      <c r="H30">
        <v>386</v>
      </c>
      <c r="I30" t="s">
        <v>644</v>
      </c>
      <c r="K30"/>
    </row>
    <row r="31" spans="1:11">
      <c r="A31" s="73">
        <v>45586</v>
      </c>
      <c r="B31" t="s">
        <v>40</v>
      </c>
      <c r="C31">
        <v>508</v>
      </c>
      <c r="D31">
        <v>69</v>
      </c>
      <c r="E31">
        <v>23492</v>
      </c>
      <c r="F31">
        <v>3.16</v>
      </c>
      <c r="G31">
        <v>42824</v>
      </c>
      <c r="H31">
        <v>439</v>
      </c>
      <c r="I31" t="s">
        <v>644</v>
      </c>
      <c r="K31"/>
    </row>
    <row r="32" spans="1:11">
      <c r="A32" s="73">
        <v>45579</v>
      </c>
      <c r="B32" t="s">
        <v>40</v>
      </c>
      <c r="C32">
        <v>643</v>
      </c>
      <c r="D32">
        <v>358</v>
      </c>
      <c r="E32">
        <v>157599</v>
      </c>
      <c r="F32">
        <v>3.88</v>
      </c>
      <c r="G32">
        <v>7285</v>
      </c>
      <c r="H32">
        <v>285</v>
      </c>
      <c r="I32" t="s">
        <v>644</v>
      </c>
      <c r="K32"/>
    </row>
    <row r="33" spans="1:11">
      <c r="A33" s="73">
        <v>45572</v>
      </c>
      <c r="B33" t="s">
        <v>40</v>
      </c>
      <c r="C33">
        <v>1929</v>
      </c>
      <c r="D33">
        <v>267</v>
      </c>
      <c r="E33">
        <v>379363</v>
      </c>
      <c r="F33">
        <v>1.75</v>
      </c>
      <c r="G33">
        <v>43836</v>
      </c>
      <c r="H33">
        <v>1662</v>
      </c>
      <c r="I33" t="s">
        <v>644</v>
      </c>
      <c r="K33"/>
    </row>
    <row r="34" spans="1:11">
      <c r="A34" s="73">
        <v>45565</v>
      </c>
      <c r="B34" t="s">
        <v>40</v>
      </c>
      <c r="C34">
        <v>250</v>
      </c>
      <c r="D34">
        <v>429</v>
      </c>
      <c r="E34">
        <v>453423</v>
      </c>
      <c r="F34">
        <v>1.77</v>
      </c>
      <c r="G34">
        <v>2315</v>
      </c>
      <c r="H34">
        <v>-179</v>
      </c>
      <c r="I34" t="s">
        <v>645</v>
      </c>
      <c r="K34"/>
    </row>
    <row r="35" spans="1:11">
      <c r="A35" s="73">
        <v>45558</v>
      </c>
      <c r="B35" t="s">
        <v>40</v>
      </c>
      <c r="C35">
        <v>198</v>
      </c>
      <c r="D35">
        <v>217</v>
      </c>
      <c r="E35">
        <v>239753</v>
      </c>
      <c r="F35">
        <v>7.36</v>
      </c>
      <c r="G35">
        <v>11901</v>
      </c>
      <c r="H35">
        <v>-19</v>
      </c>
      <c r="I35" t="s">
        <v>645</v>
      </c>
      <c r="K35"/>
    </row>
    <row r="36" spans="1:11">
      <c r="A36" s="73">
        <v>45551</v>
      </c>
      <c r="B36" t="s">
        <v>40</v>
      </c>
      <c r="C36">
        <v>443</v>
      </c>
      <c r="D36">
        <v>345</v>
      </c>
      <c r="E36">
        <v>474162</v>
      </c>
      <c r="F36">
        <v>9.1999999999999993</v>
      </c>
      <c r="G36">
        <v>47462</v>
      </c>
      <c r="H36">
        <v>98</v>
      </c>
      <c r="I36" t="s">
        <v>645</v>
      </c>
      <c r="K36"/>
    </row>
    <row r="37" spans="1:11">
      <c r="A37" s="73">
        <v>45544</v>
      </c>
      <c r="B37" t="s">
        <v>40</v>
      </c>
      <c r="C37">
        <v>1842</v>
      </c>
      <c r="D37">
        <v>414</v>
      </c>
      <c r="E37">
        <v>307524</v>
      </c>
      <c r="F37">
        <v>1.76</v>
      </c>
      <c r="G37">
        <v>40478</v>
      </c>
      <c r="H37">
        <v>1428</v>
      </c>
      <c r="I37" t="s">
        <v>645</v>
      </c>
      <c r="K37"/>
    </row>
    <row r="38" spans="1:11">
      <c r="A38" s="73">
        <v>45537</v>
      </c>
      <c r="B38" t="s">
        <v>40</v>
      </c>
      <c r="C38">
        <v>1520</v>
      </c>
      <c r="D38">
        <v>475</v>
      </c>
      <c r="E38">
        <v>496982</v>
      </c>
      <c r="F38">
        <v>6.41</v>
      </c>
      <c r="G38">
        <v>24384</v>
      </c>
      <c r="H38">
        <v>1045</v>
      </c>
      <c r="I38" t="s">
        <v>645</v>
      </c>
      <c r="K38"/>
    </row>
    <row r="39" spans="1:11">
      <c r="A39" s="73">
        <v>45530</v>
      </c>
      <c r="B39" t="s">
        <v>40</v>
      </c>
      <c r="C39">
        <v>248</v>
      </c>
      <c r="D39">
        <v>211</v>
      </c>
      <c r="E39">
        <v>379380</v>
      </c>
      <c r="F39">
        <v>9.0399999999999991</v>
      </c>
      <c r="G39">
        <v>26925</v>
      </c>
      <c r="H39">
        <v>37</v>
      </c>
      <c r="I39" t="s">
        <v>646</v>
      </c>
      <c r="K39"/>
    </row>
    <row r="40" spans="1:11">
      <c r="A40" s="73">
        <v>45523</v>
      </c>
      <c r="B40" t="s">
        <v>40</v>
      </c>
      <c r="C40">
        <v>1078</v>
      </c>
      <c r="D40">
        <v>20</v>
      </c>
      <c r="E40">
        <v>183924</v>
      </c>
      <c r="F40">
        <v>8.84</v>
      </c>
      <c r="G40">
        <v>14203</v>
      </c>
      <c r="H40">
        <v>1058</v>
      </c>
      <c r="I40" t="s">
        <v>646</v>
      </c>
      <c r="K40"/>
    </row>
    <row r="41" spans="1:11">
      <c r="A41" s="73">
        <v>45516</v>
      </c>
      <c r="B41" t="s">
        <v>40</v>
      </c>
      <c r="C41">
        <v>1534</v>
      </c>
      <c r="D41">
        <v>200</v>
      </c>
      <c r="E41">
        <v>307612</v>
      </c>
      <c r="F41">
        <v>6.01</v>
      </c>
      <c r="G41">
        <v>37903</v>
      </c>
      <c r="H41">
        <v>1334</v>
      </c>
      <c r="I41" t="s">
        <v>646</v>
      </c>
      <c r="K41"/>
    </row>
    <row r="42" spans="1:11">
      <c r="A42" s="73">
        <v>45509</v>
      </c>
      <c r="B42" t="s">
        <v>40</v>
      </c>
      <c r="C42">
        <v>214</v>
      </c>
      <c r="D42">
        <v>411</v>
      </c>
      <c r="E42">
        <v>125034</v>
      </c>
      <c r="F42">
        <v>6.11</v>
      </c>
      <c r="G42">
        <v>26455</v>
      </c>
      <c r="H42">
        <v>-197</v>
      </c>
      <c r="I42" t="s">
        <v>646</v>
      </c>
      <c r="K42"/>
    </row>
    <row r="43" spans="1:11">
      <c r="A43" s="73">
        <v>45502</v>
      </c>
      <c r="B43" t="s">
        <v>40</v>
      </c>
      <c r="C43">
        <v>160</v>
      </c>
      <c r="D43">
        <v>478</v>
      </c>
      <c r="E43">
        <v>435034</v>
      </c>
      <c r="F43">
        <v>7.73</v>
      </c>
      <c r="G43">
        <v>4839</v>
      </c>
      <c r="H43">
        <v>-318</v>
      </c>
      <c r="I43" t="s">
        <v>647</v>
      </c>
      <c r="K43"/>
    </row>
    <row r="44" spans="1:11">
      <c r="A44" s="73">
        <v>45495</v>
      </c>
      <c r="B44" t="s">
        <v>40</v>
      </c>
      <c r="C44">
        <v>1391</v>
      </c>
      <c r="D44">
        <v>430</v>
      </c>
      <c r="E44">
        <v>295032</v>
      </c>
      <c r="F44">
        <v>7.86</v>
      </c>
      <c r="G44">
        <v>26067</v>
      </c>
      <c r="H44">
        <v>961</v>
      </c>
      <c r="I44" t="s">
        <v>647</v>
      </c>
      <c r="K44"/>
    </row>
    <row r="45" spans="1:11">
      <c r="A45" s="73">
        <v>45488</v>
      </c>
      <c r="B45" t="s">
        <v>40</v>
      </c>
      <c r="C45">
        <v>170</v>
      </c>
      <c r="D45">
        <v>334</v>
      </c>
      <c r="E45">
        <v>334626</v>
      </c>
      <c r="F45">
        <v>6.44</v>
      </c>
      <c r="G45">
        <v>43420</v>
      </c>
      <c r="H45">
        <v>-164</v>
      </c>
      <c r="I45" t="s">
        <v>647</v>
      </c>
      <c r="K45"/>
    </row>
    <row r="46" spans="1:11">
      <c r="A46" s="73">
        <v>45481</v>
      </c>
      <c r="B46" t="s">
        <v>40</v>
      </c>
      <c r="C46">
        <v>350</v>
      </c>
      <c r="D46">
        <v>41</v>
      </c>
      <c r="E46">
        <v>251694</v>
      </c>
      <c r="F46">
        <v>1.91</v>
      </c>
      <c r="G46">
        <v>38610</v>
      </c>
      <c r="H46">
        <v>309</v>
      </c>
      <c r="I46" t="s">
        <v>647</v>
      </c>
      <c r="K46"/>
    </row>
    <row r="47" spans="1:11">
      <c r="A47" s="73">
        <v>45474</v>
      </c>
      <c r="B47" t="s">
        <v>40</v>
      </c>
      <c r="C47">
        <v>505</v>
      </c>
      <c r="D47">
        <v>441</v>
      </c>
      <c r="E47">
        <v>220020</v>
      </c>
      <c r="F47">
        <v>4.4800000000000004</v>
      </c>
      <c r="G47">
        <v>42307</v>
      </c>
      <c r="H47">
        <v>64</v>
      </c>
      <c r="I47" t="s">
        <v>647</v>
      </c>
      <c r="K47"/>
    </row>
    <row r="48" spans="1:11">
      <c r="A48" s="73">
        <v>45467</v>
      </c>
      <c r="B48" t="s">
        <v>40</v>
      </c>
      <c r="C48">
        <v>1779</v>
      </c>
      <c r="D48">
        <v>109</v>
      </c>
      <c r="E48">
        <v>26295</v>
      </c>
      <c r="F48">
        <v>9.1199999999999992</v>
      </c>
      <c r="G48">
        <v>30635</v>
      </c>
      <c r="H48">
        <v>1670</v>
      </c>
      <c r="I48" t="s">
        <v>648</v>
      </c>
      <c r="K48"/>
    </row>
    <row r="49" spans="1:11">
      <c r="A49" s="73">
        <v>45460</v>
      </c>
      <c r="B49" t="s">
        <v>40</v>
      </c>
      <c r="C49">
        <v>1753</v>
      </c>
      <c r="D49">
        <v>371</v>
      </c>
      <c r="E49">
        <v>169496</v>
      </c>
      <c r="F49">
        <v>8.11</v>
      </c>
      <c r="G49">
        <v>46670</v>
      </c>
      <c r="H49">
        <v>1382</v>
      </c>
      <c r="I49" t="s">
        <v>648</v>
      </c>
      <c r="K49"/>
    </row>
    <row r="50" spans="1:11">
      <c r="A50" s="73">
        <v>45453</v>
      </c>
      <c r="B50" t="s">
        <v>40</v>
      </c>
      <c r="C50">
        <v>1697</v>
      </c>
      <c r="D50">
        <v>414</v>
      </c>
      <c r="E50">
        <v>316555</v>
      </c>
      <c r="F50">
        <v>2.37</v>
      </c>
      <c r="G50">
        <v>7924</v>
      </c>
      <c r="H50">
        <v>1283</v>
      </c>
      <c r="I50" t="s">
        <v>648</v>
      </c>
      <c r="K50"/>
    </row>
    <row r="51" spans="1:11">
      <c r="A51" s="73">
        <v>45446</v>
      </c>
      <c r="B51" t="s">
        <v>40</v>
      </c>
      <c r="C51">
        <v>1312</v>
      </c>
      <c r="D51">
        <v>310</v>
      </c>
      <c r="E51">
        <v>42654</v>
      </c>
      <c r="F51">
        <v>4.9800000000000004</v>
      </c>
      <c r="G51">
        <v>9566</v>
      </c>
      <c r="H51">
        <v>1002</v>
      </c>
      <c r="I51" t="s">
        <v>648</v>
      </c>
      <c r="K51"/>
    </row>
    <row r="52" spans="1:11">
      <c r="A52" s="73">
        <v>45789</v>
      </c>
      <c r="B52" t="s">
        <v>31</v>
      </c>
      <c r="C52">
        <v>1765</v>
      </c>
      <c r="D52">
        <v>109</v>
      </c>
      <c r="E52">
        <v>468301</v>
      </c>
      <c r="F52">
        <v>1.82</v>
      </c>
      <c r="G52">
        <v>20042</v>
      </c>
      <c r="H52">
        <v>1656</v>
      </c>
      <c r="I52" t="s">
        <v>637</v>
      </c>
      <c r="K52"/>
    </row>
    <row r="53" spans="1:11">
      <c r="A53" s="73">
        <v>45782</v>
      </c>
      <c r="B53" t="s">
        <v>31</v>
      </c>
      <c r="C53">
        <v>1957</v>
      </c>
      <c r="D53">
        <v>76</v>
      </c>
      <c r="E53">
        <v>447902</v>
      </c>
      <c r="F53">
        <v>6.09</v>
      </c>
      <c r="G53">
        <v>33381</v>
      </c>
      <c r="H53">
        <v>1881</v>
      </c>
      <c r="I53" t="s">
        <v>637</v>
      </c>
      <c r="K53"/>
    </row>
    <row r="54" spans="1:11">
      <c r="A54" s="73">
        <v>45775</v>
      </c>
      <c r="B54" t="s">
        <v>31</v>
      </c>
      <c r="C54">
        <v>1693</v>
      </c>
      <c r="D54">
        <v>154</v>
      </c>
      <c r="E54">
        <v>445944</v>
      </c>
      <c r="F54">
        <v>5.69</v>
      </c>
      <c r="G54">
        <v>14216</v>
      </c>
      <c r="H54">
        <v>1539</v>
      </c>
      <c r="I54" t="s">
        <v>638</v>
      </c>
      <c r="K54"/>
    </row>
    <row r="55" spans="1:11">
      <c r="A55" s="73">
        <v>45768</v>
      </c>
      <c r="B55" t="s">
        <v>31</v>
      </c>
      <c r="C55">
        <v>961</v>
      </c>
      <c r="D55">
        <v>358</v>
      </c>
      <c r="E55">
        <v>62942</v>
      </c>
      <c r="F55">
        <v>6.8</v>
      </c>
      <c r="G55">
        <v>18693</v>
      </c>
      <c r="H55">
        <v>603</v>
      </c>
      <c r="I55" t="s">
        <v>638</v>
      </c>
      <c r="K55"/>
    </row>
    <row r="56" spans="1:11">
      <c r="A56" s="73">
        <v>45761</v>
      </c>
      <c r="B56" t="s">
        <v>31</v>
      </c>
      <c r="C56">
        <v>198</v>
      </c>
      <c r="D56">
        <v>358</v>
      </c>
      <c r="E56">
        <v>66682</v>
      </c>
      <c r="F56">
        <v>6.73</v>
      </c>
      <c r="G56">
        <v>2293</v>
      </c>
      <c r="H56">
        <v>-160</v>
      </c>
      <c r="I56" t="s">
        <v>638</v>
      </c>
      <c r="K56"/>
    </row>
    <row r="57" spans="1:11">
      <c r="A57" s="73">
        <v>45754</v>
      </c>
      <c r="B57" t="s">
        <v>31</v>
      </c>
      <c r="C57">
        <v>559</v>
      </c>
      <c r="D57">
        <v>392</v>
      </c>
      <c r="E57">
        <v>78789</v>
      </c>
      <c r="F57">
        <v>3.19</v>
      </c>
      <c r="G57">
        <v>2436</v>
      </c>
      <c r="H57">
        <v>167</v>
      </c>
      <c r="I57" t="s">
        <v>638</v>
      </c>
      <c r="K57"/>
    </row>
    <row r="58" spans="1:11">
      <c r="A58" s="73">
        <v>45747</v>
      </c>
      <c r="B58" t="s">
        <v>31</v>
      </c>
      <c r="C58">
        <v>1033</v>
      </c>
      <c r="D58">
        <v>392</v>
      </c>
      <c r="E58">
        <v>282780</v>
      </c>
      <c r="F58">
        <v>6.27</v>
      </c>
      <c r="G58">
        <v>23140</v>
      </c>
      <c r="H58">
        <v>641</v>
      </c>
      <c r="I58" t="s">
        <v>639</v>
      </c>
      <c r="K58"/>
    </row>
    <row r="59" spans="1:11">
      <c r="A59" s="73">
        <v>45740</v>
      </c>
      <c r="B59" t="s">
        <v>31</v>
      </c>
      <c r="C59">
        <v>490</v>
      </c>
      <c r="D59">
        <v>29</v>
      </c>
      <c r="E59">
        <v>364810</v>
      </c>
      <c r="F59">
        <v>1.53</v>
      </c>
      <c r="G59">
        <v>49077</v>
      </c>
      <c r="H59">
        <v>461</v>
      </c>
      <c r="I59" t="s">
        <v>639</v>
      </c>
      <c r="K59"/>
    </row>
    <row r="60" spans="1:11">
      <c r="A60" s="73">
        <v>45733</v>
      </c>
      <c r="B60" t="s">
        <v>31</v>
      </c>
      <c r="C60">
        <v>1102</v>
      </c>
      <c r="D60">
        <v>422</v>
      </c>
      <c r="E60">
        <v>410330</v>
      </c>
      <c r="F60">
        <v>7.74</v>
      </c>
      <c r="G60">
        <v>9480</v>
      </c>
      <c r="H60">
        <v>680</v>
      </c>
      <c r="I60" t="s">
        <v>639</v>
      </c>
      <c r="K60"/>
    </row>
    <row r="61" spans="1:11">
      <c r="A61" s="73">
        <v>45726</v>
      </c>
      <c r="B61" t="s">
        <v>31</v>
      </c>
      <c r="C61">
        <v>393</v>
      </c>
      <c r="D61">
        <v>181</v>
      </c>
      <c r="E61">
        <v>462142</v>
      </c>
      <c r="F61">
        <v>7.23</v>
      </c>
      <c r="G61">
        <v>6296</v>
      </c>
      <c r="H61">
        <v>212</v>
      </c>
      <c r="I61" t="s">
        <v>639</v>
      </c>
      <c r="K61"/>
    </row>
    <row r="62" spans="1:11">
      <c r="A62" s="73">
        <v>45719</v>
      </c>
      <c r="B62" t="s">
        <v>31</v>
      </c>
      <c r="C62">
        <v>1371</v>
      </c>
      <c r="D62">
        <v>56</v>
      </c>
      <c r="E62">
        <v>257579</v>
      </c>
      <c r="F62">
        <v>8.6199999999999992</v>
      </c>
      <c r="G62">
        <v>33799</v>
      </c>
      <c r="H62">
        <v>1315</v>
      </c>
      <c r="I62" t="s">
        <v>639</v>
      </c>
      <c r="K62"/>
    </row>
    <row r="63" spans="1:11">
      <c r="A63" s="73">
        <v>45712</v>
      </c>
      <c r="B63" t="s">
        <v>31</v>
      </c>
      <c r="C63">
        <v>1440</v>
      </c>
      <c r="D63">
        <v>65</v>
      </c>
      <c r="E63">
        <v>126524</v>
      </c>
      <c r="F63">
        <v>4.34</v>
      </c>
      <c r="G63">
        <v>49772</v>
      </c>
      <c r="H63">
        <v>1375</v>
      </c>
      <c r="I63" t="s">
        <v>640</v>
      </c>
      <c r="K63"/>
    </row>
    <row r="64" spans="1:11">
      <c r="A64" s="73">
        <v>45705</v>
      </c>
      <c r="B64" t="s">
        <v>31</v>
      </c>
      <c r="C64">
        <v>1138</v>
      </c>
      <c r="D64">
        <v>173</v>
      </c>
      <c r="E64">
        <v>453243</v>
      </c>
      <c r="F64">
        <v>2.86</v>
      </c>
      <c r="G64">
        <v>44097</v>
      </c>
      <c r="H64">
        <v>965</v>
      </c>
      <c r="I64" t="s">
        <v>640</v>
      </c>
      <c r="K64"/>
    </row>
    <row r="65" spans="1:11">
      <c r="A65" s="73">
        <v>45698</v>
      </c>
      <c r="B65" t="s">
        <v>31</v>
      </c>
      <c r="C65">
        <v>1957</v>
      </c>
      <c r="D65">
        <v>234</v>
      </c>
      <c r="E65">
        <v>222126</v>
      </c>
      <c r="F65">
        <v>4.6100000000000003</v>
      </c>
      <c r="G65">
        <v>3314</v>
      </c>
      <c r="H65">
        <v>1723</v>
      </c>
      <c r="I65" t="s">
        <v>640</v>
      </c>
      <c r="K65"/>
    </row>
    <row r="66" spans="1:11">
      <c r="A66" s="73">
        <v>45691</v>
      </c>
      <c r="B66" t="s">
        <v>31</v>
      </c>
      <c r="C66">
        <v>1556</v>
      </c>
      <c r="D66">
        <v>476</v>
      </c>
      <c r="E66">
        <v>351556</v>
      </c>
      <c r="F66">
        <v>3.89</v>
      </c>
      <c r="G66">
        <v>10825</v>
      </c>
      <c r="H66">
        <v>1080</v>
      </c>
      <c r="I66" t="s">
        <v>640</v>
      </c>
      <c r="K66"/>
    </row>
    <row r="67" spans="1:11">
      <c r="A67" s="73">
        <v>45684</v>
      </c>
      <c r="B67" t="s">
        <v>31</v>
      </c>
      <c r="C67">
        <v>115</v>
      </c>
      <c r="D67">
        <v>281</v>
      </c>
      <c r="E67">
        <v>357265</v>
      </c>
      <c r="F67">
        <v>9.23</v>
      </c>
      <c r="G67">
        <v>25525</v>
      </c>
      <c r="H67">
        <v>-166</v>
      </c>
      <c r="I67" t="s">
        <v>641</v>
      </c>
      <c r="K67"/>
    </row>
    <row r="68" spans="1:11">
      <c r="A68" s="73">
        <v>45677</v>
      </c>
      <c r="B68" t="s">
        <v>31</v>
      </c>
      <c r="C68">
        <v>1748</v>
      </c>
      <c r="D68">
        <v>176</v>
      </c>
      <c r="E68">
        <v>383681</v>
      </c>
      <c r="F68">
        <v>9.24</v>
      </c>
      <c r="G68">
        <v>43122</v>
      </c>
      <c r="H68">
        <v>1572</v>
      </c>
      <c r="I68" t="s">
        <v>641</v>
      </c>
      <c r="K68"/>
    </row>
    <row r="69" spans="1:11">
      <c r="A69" s="73">
        <v>45670</v>
      </c>
      <c r="B69" t="s">
        <v>31</v>
      </c>
      <c r="C69">
        <v>1855</v>
      </c>
      <c r="D69">
        <v>133</v>
      </c>
      <c r="E69">
        <v>349413</v>
      </c>
      <c r="F69">
        <v>3.3</v>
      </c>
      <c r="G69">
        <v>14548</v>
      </c>
      <c r="H69">
        <v>1722</v>
      </c>
      <c r="I69" t="s">
        <v>641</v>
      </c>
      <c r="K69"/>
    </row>
    <row r="70" spans="1:11">
      <c r="A70" s="73">
        <v>45663</v>
      </c>
      <c r="B70" t="s">
        <v>31</v>
      </c>
      <c r="C70">
        <v>1013</v>
      </c>
      <c r="D70">
        <v>110</v>
      </c>
      <c r="E70">
        <v>466382</v>
      </c>
      <c r="F70">
        <v>5.3</v>
      </c>
      <c r="G70">
        <v>37132</v>
      </c>
      <c r="H70">
        <v>903</v>
      </c>
      <c r="I70" t="s">
        <v>641</v>
      </c>
      <c r="K70"/>
    </row>
    <row r="71" spans="1:11">
      <c r="A71" s="73">
        <v>45656</v>
      </c>
      <c r="B71" t="s">
        <v>31</v>
      </c>
      <c r="C71">
        <v>1814</v>
      </c>
      <c r="D71">
        <v>49</v>
      </c>
      <c r="E71">
        <v>140804</v>
      </c>
      <c r="F71">
        <v>1.76</v>
      </c>
      <c r="G71">
        <v>4313</v>
      </c>
      <c r="H71">
        <v>1765</v>
      </c>
      <c r="I71" t="s">
        <v>642</v>
      </c>
      <c r="K71"/>
    </row>
    <row r="72" spans="1:11">
      <c r="A72" s="73">
        <v>45649</v>
      </c>
      <c r="B72" t="s">
        <v>31</v>
      </c>
      <c r="C72">
        <v>1092</v>
      </c>
      <c r="D72">
        <v>408</v>
      </c>
      <c r="E72">
        <v>280795</v>
      </c>
      <c r="F72">
        <v>8.44</v>
      </c>
      <c r="G72">
        <v>4683</v>
      </c>
      <c r="H72">
        <v>684</v>
      </c>
      <c r="I72" t="s">
        <v>642</v>
      </c>
      <c r="K72"/>
    </row>
    <row r="73" spans="1:11">
      <c r="A73" s="73">
        <v>45642</v>
      </c>
      <c r="B73" t="s">
        <v>31</v>
      </c>
      <c r="C73">
        <v>1502</v>
      </c>
      <c r="D73">
        <v>70</v>
      </c>
      <c r="E73">
        <v>465553</v>
      </c>
      <c r="F73">
        <v>3.32</v>
      </c>
      <c r="G73">
        <v>20692</v>
      </c>
      <c r="H73">
        <v>1432</v>
      </c>
      <c r="I73" t="s">
        <v>642</v>
      </c>
      <c r="K73"/>
    </row>
    <row r="74" spans="1:11">
      <c r="A74" s="73">
        <v>45635</v>
      </c>
      <c r="B74" t="s">
        <v>31</v>
      </c>
      <c r="C74">
        <v>1494</v>
      </c>
      <c r="D74">
        <v>375</v>
      </c>
      <c r="E74">
        <v>220616</v>
      </c>
      <c r="F74">
        <v>1.81</v>
      </c>
      <c r="G74">
        <v>22724</v>
      </c>
      <c r="H74">
        <v>1119</v>
      </c>
      <c r="I74" t="s">
        <v>642</v>
      </c>
      <c r="K74"/>
    </row>
    <row r="75" spans="1:11">
      <c r="A75" s="73">
        <v>45628</v>
      </c>
      <c r="B75" t="s">
        <v>31</v>
      </c>
      <c r="C75">
        <v>1696</v>
      </c>
      <c r="D75">
        <v>71</v>
      </c>
      <c r="E75">
        <v>421957</v>
      </c>
      <c r="F75">
        <v>3.79</v>
      </c>
      <c r="G75">
        <v>36103</v>
      </c>
      <c r="H75">
        <v>1625</v>
      </c>
      <c r="I75" t="s">
        <v>642</v>
      </c>
      <c r="K75"/>
    </row>
    <row r="76" spans="1:11">
      <c r="A76" s="73">
        <v>45621</v>
      </c>
      <c r="B76" t="s">
        <v>31</v>
      </c>
      <c r="C76">
        <v>1854</v>
      </c>
      <c r="D76">
        <v>161</v>
      </c>
      <c r="E76">
        <v>282466</v>
      </c>
      <c r="F76">
        <v>5.17</v>
      </c>
      <c r="G76">
        <v>1810</v>
      </c>
      <c r="H76">
        <v>1693</v>
      </c>
      <c r="I76" t="s">
        <v>643</v>
      </c>
      <c r="K76"/>
    </row>
    <row r="77" spans="1:11">
      <c r="A77" s="73">
        <v>45614</v>
      </c>
      <c r="B77" t="s">
        <v>31</v>
      </c>
      <c r="C77">
        <v>187</v>
      </c>
      <c r="D77">
        <v>236</v>
      </c>
      <c r="E77">
        <v>51087</v>
      </c>
      <c r="F77">
        <v>9.41</v>
      </c>
      <c r="G77">
        <v>29533</v>
      </c>
      <c r="H77">
        <v>-49</v>
      </c>
      <c r="I77" t="s">
        <v>643</v>
      </c>
      <c r="K77"/>
    </row>
    <row r="78" spans="1:11">
      <c r="A78" s="73">
        <v>45607</v>
      </c>
      <c r="B78" t="s">
        <v>31</v>
      </c>
      <c r="C78">
        <v>1075</v>
      </c>
      <c r="D78">
        <v>173</v>
      </c>
      <c r="E78">
        <v>51395</v>
      </c>
      <c r="F78">
        <v>4.66</v>
      </c>
      <c r="G78">
        <v>47812</v>
      </c>
      <c r="H78">
        <v>902</v>
      </c>
      <c r="I78" t="s">
        <v>643</v>
      </c>
      <c r="K78"/>
    </row>
    <row r="79" spans="1:11">
      <c r="A79" s="73">
        <v>45600</v>
      </c>
      <c r="B79" t="s">
        <v>31</v>
      </c>
      <c r="C79">
        <v>1466</v>
      </c>
      <c r="D79">
        <v>69</v>
      </c>
      <c r="E79">
        <v>54935</v>
      </c>
      <c r="F79">
        <v>6.85</v>
      </c>
      <c r="G79">
        <v>36484</v>
      </c>
      <c r="H79">
        <v>1397</v>
      </c>
      <c r="I79" t="s">
        <v>643</v>
      </c>
      <c r="K79"/>
    </row>
    <row r="80" spans="1:11">
      <c r="A80" s="73">
        <v>45593</v>
      </c>
      <c r="B80" t="s">
        <v>31</v>
      </c>
      <c r="C80">
        <v>642</v>
      </c>
      <c r="D80">
        <v>66</v>
      </c>
      <c r="E80">
        <v>346522</v>
      </c>
      <c r="F80">
        <v>5.85</v>
      </c>
      <c r="G80">
        <v>13116</v>
      </c>
      <c r="H80">
        <v>576</v>
      </c>
      <c r="I80" t="s">
        <v>644</v>
      </c>
      <c r="K80"/>
    </row>
    <row r="81" spans="1:11">
      <c r="A81" s="73">
        <v>45586</v>
      </c>
      <c r="B81" t="s">
        <v>31</v>
      </c>
      <c r="C81">
        <v>703</v>
      </c>
      <c r="D81">
        <v>441</v>
      </c>
      <c r="E81">
        <v>357089</v>
      </c>
      <c r="F81">
        <v>6.5</v>
      </c>
      <c r="G81">
        <v>32478</v>
      </c>
      <c r="H81">
        <v>262</v>
      </c>
      <c r="I81" t="s">
        <v>644</v>
      </c>
      <c r="K81"/>
    </row>
    <row r="82" spans="1:11">
      <c r="A82" s="73">
        <v>45579</v>
      </c>
      <c r="B82" t="s">
        <v>31</v>
      </c>
      <c r="C82">
        <v>1527</v>
      </c>
      <c r="D82">
        <v>303</v>
      </c>
      <c r="E82">
        <v>388555</v>
      </c>
      <c r="F82">
        <v>8.9</v>
      </c>
      <c r="G82">
        <v>36397</v>
      </c>
      <c r="H82">
        <v>1224</v>
      </c>
      <c r="I82" t="s">
        <v>644</v>
      </c>
      <c r="K82"/>
    </row>
    <row r="83" spans="1:11">
      <c r="A83" s="73">
        <v>45572</v>
      </c>
      <c r="B83" t="s">
        <v>31</v>
      </c>
      <c r="C83">
        <v>1939</v>
      </c>
      <c r="D83">
        <v>67</v>
      </c>
      <c r="E83">
        <v>187183</v>
      </c>
      <c r="F83">
        <v>6.25</v>
      </c>
      <c r="G83">
        <v>41215</v>
      </c>
      <c r="H83">
        <v>1872</v>
      </c>
      <c r="I83" t="s">
        <v>644</v>
      </c>
      <c r="K83"/>
    </row>
    <row r="84" spans="1:11">
      <c r="A84" s="73">
        <v>45565</v>
      </c>
      <c r="B84" t="s">
        <v>31</v>
      </c>
      <c r="C84">
        <v>1433</v>
      </c>
      <c r="D84">
        <v>408</v>
      </c>
      <c r="E84">
        <v>370269</v>
      </c>
      <c r="F84">
        <v>3.3</v>
      </c>
      <c r="G84">
        <v>30575</v>
      </c>
      <c r="H84">
        <v>1025</v>
      </c>
      <c r="I84" t="s">
        <v>645</v>
      </c>
      <c r="K84"/>
    </row>
    <row r="85" spans="1:11">
      <c r="A85" s="73">
        <v>45558</v>
      </c>
      <c r="B85" t="s">
        <v>31</v>
      </c>
      <c r="C85">
        <v>817</v>
      </c>
      <c r="D85">
        <v>151</v>
      </c>
      <c r="E85">
        <v>422625</v>
      </c>
      <c r="F85">
        <v>2.36</v>
      </c>
      <c r="G85">
        <v>1083</v>
      </c>
      <c r="H85">
        <v>666</v>
      </c>
      <c r="I85" t="s">
        <v>645</v>
      </c>
      <c r="K85"/>
    </row>
    <row r="86" spans="1:11">
      <c r="A86" s="73">
        <v>45551</v>
      </c>
      <c r="B86" t="s">
        <v>31</v>
      </c>
      <c r="C86">
        <v>778</v>
      </c>
      <c r="D86">
        <v>401</v>
      </c>
      <c r="E86">
        <v>50793</v>
      </c>
      <c r="F86">
        <v>3.4</v>
      </c>
      <c r="G86">
        <v>21939</v>
      </c>
      <c r="H86">
        <v>377</v>
      </c>
      <c r="I86" t="s">
        <v>645</v>
      </c>
      <c r="K86"/>
    </row>
    <row r="87" spans="1:11">
      <c r="A87" s="73">
        <v>45544</v>
      </c>
      <c r="B87" t="s">
        <v>31</v>
      </c>
      <c r="C87">
        <v>1592</v>
      </c>
      <c r="D87">
        <v>20</v>
      </c>
      <c r="E87">
        <v>378054</v>
      </c>
      <c r="F87">
        <v>9.09</v>
      </c>
      <c r="G87">
        <v>26663</v>
      </c>
      <c r="H87">
        <v>1572</v>
      </c>
      <c r="I87" t="s">
        <v>645</v>
      </c>
      <c r="K87"/>
    </row>
    <row r="88" spans="1:11">
      <c r="A88" s="73">
        <v>45537</v>
      </c>
      <c r="B88" t="s">
        <v>31</v>
      </c>
      <c r="C88">
        <v>1429</v>
      </c>
      <c r="D88">
        <v>182</v>
      </c>
      <c r="E88">
        <v>101332</v>
      </c>
      <c r="F88">
        <v>7.16</v>
      </c>
      <c r="G88">
        <v>37829</v>
      </c>
      <c r="H88">
        <v>1247</v>
      </c>
      <c r="I88" t="s">
        <v>645</v>
      </c>
      <c r="K88"/>
    </row>
    <row r="89" spans="1:11">
      <c r="A89" s="73">
        <v>45530</v>
      </c>
      <c r="B89" t="s">
        <v>31</v>
      </c>
      <c r="C89">
        <v>1685</v>
      </c>
      <c r="D89">
        <v>76</v>
      </c>
      <c r="E89">
        <v>453799</v>
      </c>
      <c r="F89">
        <v>5.71</v>
      </c>
      <c r="G89">
        <v>24913</v>
      </c>
      <c r="H89">
        <v>1609</v>
      </c>
      <c r="I89" t="s">
        <v>646</v>
      </c>
      <c r="K89"/>
    </row>
    <row r="90" spans="1:11">
      <c r="A90" s="73">
        <v>45523</v>
      </c>
      <c r="B90" t="s">
        <v>31</v>
      </c>
      <c r="C90">
        <v>215</v>
      </c>
      <c r="D90">
        <v>139</v>
      </c>
      <c r="E90">
        <v>325444</v>
      </c>
      <c r="F90">
        <v>3.25</v>
      </c>
      <c r="G90">
        <v>35501</v>
      </c>
      <c r="H90">
        <v>76</v>
      </c>
      <c r="I90" t="s">
        <v>646</v>
      </c>
      <c r="K90"/>
    </row>
    <row r="91" spans="1:11">
      <c r="A91" s="73">
        <v>45516</v>
      </c>
      <c r="B91" t="s">
        <v>31</v>
      </c>
      <c r="C91">
        <v>1528</v>
      </c>
      <c r="D91">
        <v>203</v>
      </c>
      <c r="E91">
        <v>489188</v>
      </c>
      <c r="F91">
        <v>6.23</v>
      </c>
      <c r="G91">
        <v>47101</v>
      </c>
      <c r="H91">
        <v>1325</v>
      </c>
      <c r="I91" t="s">
        <v>646</v>
      </c>
      <c r="K91"/>
    </row>
    <row r="92" spans="1:11">
      <c r="A92" s="73">
        <v>45509</v>
      </c>
      <c r="B92" t="s">
        <v>31</v>
      </c>
      <c r="C92">
        <v>645</v>
      </c>
      <c r="D92">
        <v>293</v>
      </c>
      <c r="E92">
        <v>437968</v>
      </c>
      <c r="F92">
        <v>7.83</v>
      </c>
      <c r="G92">
        <v>49303</v>
      </c>
      <c r="H92">
        <v>352</v>
      </c>
      <c r="I92" t="s">
        <v>646</v>
      </c>
      <c r="K92"/>
    </row>
    <row r="93" spans="1:11">
      <c r="A93" s="73">
        <v>45502</v>
      </c>
      <c r="B93" t="s">
        <v>31</v>
      </c>
      <c r="C93">
        <v>653</v>
      </c>
      <c r="D93">
        <v>112</v>
      </c>
      <c r="E93">
        <v>23664</v>
      </c>
      <c r="F93">
        <v>4.05</v>
      </c>
      <c r="G93">
        <v>15353</v>
      </c>
      <c r="H93">
        <v>541</v>
      </c>
      <c r="I93" t="s">
        <v>647</v>
      </c>
      <c r="K93"/>
    </row>
    <row r="94" spans="1:11">
      <c r="A94" s="73">
        <v>45495</v>
      </c>
      <c r="B94" t="s">
        <v>31</v>
      </c>
      <c r="C94">
        <v>508</v>
      </c>
      <c r="D94">
        <v>349</v>
      </c>
      <c r="E94">
        <v>473812</v>
      </c>
      <c r="F94">
        <v>7.88</v>
      </c>
      <c r="G94">
        <v>17328</v>
      </c>
      <c r="H94">
        <v>159</v>
      </c>
      <c r="I94" t="s">
        <v>647</v>
      </c>
      <c r="K94"/>
    </row>
    <row r="95" spans="1:11">
      <c r="A95" s="73">
        <v>45488</v>
      </c>
      <c r="B95" t="s">
        <v>31</v>
      </c>
      <c r="C95">
        <v>1960</v>
      </c>
      <c r="D95">
        <v>115</v>
      </c>
      <c r="E95">
        <v>154169</v>
      </c>
      <c r="F95">
        <v>3.74</v>
      </c>
      <c r="G95">
        <v>10740</v>
      </c>
      <c r="H95">
        <v>1845</v>
      </c>
      <c r="I95" t="s">
        <v>647</v>
      </c>
      <c r="K95"/>
    </row>
    <row r="96" spans="1:11">
      <c r="A96" s="73">
        <v>45481</v>
      </c>
      <c r="B96" t="s">
        <v>31</v>
      </c>
      <c r="C96">
        <v>1757</v>
      </c>
      <c r="D96">
        <v>85</v>
      </c>
      <c r="E96">
        <v>58223</v>
      </c>
      <c r="F96">
        <v>8.74</v>
      </c>
      <c r="G96">
        <v>22728</v>
      </c>
      <c r="H96">
        <v>1672</v>
      </c>
      <c r="I96" t="s">
        <v>647</v>
      </c>
      <c r="K96"/>
    </row>
    <row r="97" spans="1:11">
      <c r="A97" s="73">
        <v>45474</v>
      </c>
      <c r="B97" t="s">
        <v>31</v>
      </c>
      <c r="C97">
        <v>226</v>
      </c>
      <c r="D97">
        <v>445</v>
      </c>
      <c r="E97">
        <v>419447</v>
      </c>
      <c r="F97">
        <v>9.36</v>
      </c>
      <c r="G97">
        <v>9566</v>
      </c>
      <c r="H97">
        <v>-219</v>
      </c>
      <c r="I97" t="s">
        <v>647</v>
      </c>
      <c r="K97"/>
    </row>
    <row r="98" spans="1:11">
      <c r="A98" s="73">
        <v>45467</v>
      </c>
      <c r="B98" t="s">
        <v>31</v>
      </c>
      <c r="C98">
        <v>911</v>
      </c>
      <c r="D98">
        <v>282</v>
      </c>
      <c r="E98">
        <v>35664</v>
      </c>
      <c r="F98">
        <v>6.92</v>
      </c>
      <c r="G98">
        <v>18050</v>
      </c>
      <c r="H98">
        <v>629</v>
      </c>
      <c r="I98" t="s">
        <v>648</v>
      </c>
      <c r="K98"/>
    </row>
    <row r="99" spans="1:11">
      <c r="A99" s="73">
        <v>45460</v>
      </c>
      <c r="B99" t="s">
        <v>31</v>
      </c>
      <c r="C99">
        <v>1048</v>
      </c>
      <c r="D99">
        <v>155</v>
      </c>
      <c r="E99">
        <v>456946</v>
      </c>
      <c r="F99">
        <v>2.46</v>
      </c>
      <c r="G99">
        <v>11329</v>
      </c>
      <c r="H99">
        <v>893</v>
      </c>
      <c r="I99" t="s">
        <v>648</v>
      </c>
      <c r="K99"/>
    </row>
    <row r="100" spans="1:11">
      <c r="A100" s="73">
        <v>45453</v>
      </c>
      <c r="B100" t="s">
        <v>31</v>
      </c>
      <c r="C100">
        <v>656</v>
      </c>
      <c r="D100">
        <v>139</v>
      </c>
      <c r="E100">
        <v>49157</v>
      </c>
      <c r="F100">
        <v>9.0500000000000007</v>
      </c>
      <c r="G100">
        <v>9920</v>
      </c>
      <c r="H100">
        <v>517</v>
      </c>
      <c r="I100" t="s">
        <v>648</v>
      </c>
      <c r="K100"/>
    </row>
    <row r="101" spans="1:11">
      <c r="A101" s="73">
        <v>45446</v>
      </c>
      <c r="B101" t="s">
        <v>31</v>
      </c>
      <c r="C101">
        <v>1135</v>
      </c>
      <c r="D101">
        <v>88</v>
      </c>
      <c r="E101">
        <v>344084</v>
      </c>
      <c r="F101">
        <v>8.06</v>
      </c>
      <c r="G101">
        <v>5904</v>
      </c>
      <c r="H101">
        <v>1047</v>
      </c>
      <c r="I101" t="s">
        <v>648</v>
      </c>
      <c r="K101"/>
    </row>
    <row r="102" spans="1:11">
      <c r="A102" s="73">
        <v>45789</v>
      </c>
      <c r="B102" t="s">
        <v>14</v>
      </c>
      <c r="C102">
        <v>337</v>
      </c>
      <c r="D102">
        <v>68</v>
      </c>
      <c r="E102">
        <v>456298</v>
      </c>
      <c r="F102">
        <v>7.57</v>
      </c>
      <c r="G102">
        <v>4007</v>
      </c>
      <c r="H102">
        <v>269</v>
      </c>
      <c r="I102" t="s">
        <v>637</v>
      </c>
      <c r="K102"/>
    </row>
    <row r="103" spans="1:11">
      <c r="A103" s="73">
        <v>45782</v>
      </c>
      <c r="B103" t="s">
        <v>14</v>
      </c>
      <c r="C103">
        <v>1581</v>
      </c>
      <c r="D103">
        <v>71</v>
      </c>
      <c r="E103">
        <v>484364</v>
      </c>
      <c r="F103">
        <v>3.55</v>
      </c>
      <c r="G103">
        <v>16149</v>
      </c>
      <c r="H103">
        <v>1510</v>
      </c>
      <c r="I103" t="s">
        <v>637</v>
      </c>
      <c r="K103"/>
    </row>
    <row r="104" spans="1:11">
      <c r="A104" s="73">
        <v>45775</v>
      </c>
      <c r="B104" t="s">
        <v>14</v>
      </c>
      <c r="C104">
        <v>1222</v>
      </c>
      <c r="D104">
        <v>274</v>
      </c>
      <c r="E104">
        <v>487289</v>
      </c>
      <c r="F104">
        <v>3.16</v>
      </c>
      <c r="G104">
        <v>32500</v>
      </c>
      <c r="H104">
        <v>948</v>
      </c>
      <c r="I104" t="s">
        <v>638</v>
      </c>
      <c r="K104"/>
    </row>
    <row r="105" spans="1:11">
      <c r="A105" s="73">
        <v>45768</v>
      </c>
      <c r="B105" t="s">
        <v>14</v>
      </c>
      <c r="C105">
        <v>1147</v>
      </c>
      <c r="D105">
        <v>388</v>
      </c>
      <c r="E105">
        <v>333851</v>
      </c>
      <c r="F105">
        <v>2.44</v>
      </c>
      <c r="G105">
        <v>8471</v>
      </c>
      <c r="H105">
        <v>759</v>
      </c>
      <c r="I105" t="s">
        <v>638</v>
      </c>
      <c r="K105"/>
    </row>
    <row r="106" spans="1:11">
      <c r="A106" s="73">
        <v>45761</v>
      </c>
      <c r="B106" t="s">
        <v>14</v>
      </c>
      <c r="C106">
        <v>353</v>
      </c>
      <c r="D106">
        <v>300</v>
      </c>
      <c r="E106">
        <v>142507</v>
      </c>
      <c r="F106">
        <v>5.3</v>
      </c>
      <c r="G106">
        <v>11035</v>
      </c>
      <c r="H106">
        <v>53</v>
      </c>
      <c r="I106" t="s">
        <v>638</v>
      </c>
      <c r="K106"/>
    </row>
    <row r="107" spans="1:11">
      <c r="A107" s="73">
        <v>45754</v>
      </c>
      <c r="B107" t="s">
        <v>14</v>
      </c>
      <c r="C107">
        <v>1432</v>
      </c>
      <c r="D107">
        <v>425</v>
      </c>
      <c r="E107">
        <v>29589</v>
      </c>
      <c r="F107">
        <v>4.5</v>
      </c>
      <c r="G107">
        <v>42964</v>
      </c>
      <c r="H107">
        <v>1007</v>
      </c>
      <c r="I107" t="s">
        <v>638</v>
      </c>
      <c r="K107"/>
    </row>
    <row r="108" spans="1:11">
      <c r="A108" s="73">
        <v>45747</v>
      </c>
      <c r="B108" t="s">
        <v>14</v>
      </c>
      <c r="C108">
        <v>1946</v>
      </c>
      <c r="D108">
        <v>270</v>
      </c>
      <c r="E108">
        <v>198350</v>
      </c>
      <c r="F108">
        <v>7.5</v>
      </c>
      <c r="G108">
        <v>11805</v>
      </c>
      <c r="H108">
        <v>1676</v>
      </c>
      <c r="I108" t="s">
        <v>639</v>
      </c>
      <c r="K108"/>
    </row>
    <row r="109" spans="1:11">
      <c r="A109" s="73">
        <v>45740</v>
      </c>
      <c r="B109" t="s">
        <v>14</v>
      </c>
      <c r="C109">
        <v>364</v>
      </c>
      <c r="D109">
        <v>72</v>
      </c>
      <c r="E109">
        <v>211090</v>
      </c>
      <c r="F109">
        <v>5.53</v>
      </c>
      <c r="G109">
        <v>21061</v>
      </c>
      <c r="H109">
        <v>292</v>
      </c>
      <c r="I109" t="s">
        <v>639</v>
      </c>
      <c r="K109"/>
    </row>
    <row r="110" spans="1:11">
      <c r="A110" s="73">
        <v>45733</v>
      </c>
      <c r="B110" t="s">
        <v>14</v>
      </c>
      <c r="C110">
        <v>1077</v>
      </c>
      <c r="D110">
        <v>216</v>
      </c>
      <c r="E110">
        <v>12447</v>
      </c>
      <c r="F110">
        <v>1.8</v>
      </c>
      <c r="G110">
        <v>14068</v>
      </c>
      <c r="H110">
        <v>861</v>
      </c>
      <c r="I110" t="s">
        <v>639</v>
      </c>
      <c r="K110"/>
    </row>
    <row r="111" spans="1:11">
      <c r="A111" s="73">
        <v>45726</v>
      </c>
      <c r="B111" t="s">
        <v>14</v>
      </c>
      <c r="C111">
        <v>1399</v>
      </c>
      <c r="D111">
        <v>49</v>
      </c>
      <c r="E111">
        <v>12471</v>
      </c>
      <c r="F111">
        <v>5.12</v>
      </c>
      <c r="G111">
        <v>14722</v>
      </c>
      <c r="H111">
        <v>1350</v>
      </c>
      <c r="I111" t="s">
        <v>639</v>
      </c>
      <c r="K111"/>
    </row>
    <row r="112" spans="1:11">
      <c r="A112" s="73">
        <v>45719</v>
      </c>
      <c r="B112" t="s">
        <v>14</v>
      </c>
      <c r="C112">
        <v>946</v>
      </c>
      <c r="D112">
        <v>47</v>
      </c>
      <c r="E112">
        <v>466575</v>
      </c>
      <c r="F112">
        <v>8.33</v>
      </c>
      <c r="G112">
        <v>10002</v>
      </c>
      <c r="H112">
        <v>899</v>
      </c>
      <c r="I112" t="s">
        <v>639</v>
      </c>
      <c r="K112"/>
    </row>
    <row r="113" spans="1:11">
      <c r="A113" s="73">
        <v>45712</v>
      </c>
      <c r="B113" t="s">
        <v>14</v>
      </c>
      <c r="C113">
        <v>861</v>
      </c>
      <c r="D113">
        <v>153</v>
      </c>
      <c r="E113">
        <v>317007</v>
      </c>
      <c r="F113">
        <v>3.85</v>
      </c>
      <c r="G113">
        <v>8718</v>
      </c>
      <c r="H113">
        <v>708</v>
      </c>
      <c r="I113" t="s">
        <v>640</v>
      </c>
      <c r="K113"/>
    </row>
    <row r="114" spans="1:11">
      <c r="A114" s="73">
        <v>45705</v>
      </c>
      <c r="B114" t="s">
        <v>14</v>
      </c>
      <c r="C114">
        <v>362</v>
      </c>
      <c r="D114">
        <v>399</v>
      </c>
      <c r="E114">
        <v>145608</v>
      </c>
      <c r="F114">
        <v>7.3</v>
      </c>
      <c r="G114">
        <v>37636</v>
      </c>
      <c r="H114">
        <v>-37</v>
      </c>
      <c r="I114" t="s">
        <v>640</v>
      </c>
      <c r="K114"/>
    </row>
    <row r="115" spans="1:11">
      <c r="A115" s="73">
        <v>45698</v>
      </c>
      <c r="B115" t="s">
        <v>14</v>
      </c>
      <c r="C115">
        <v>1587</v>
      </c>
      <c r="D115">
        <v>385</v>
      </c>
      <c r="E115">
        <v>126582</v>
      </c>
      <c r="F115">
        <v>6.99</v>
      </c>
      <c r="G115">
        <v>42832</v>
      </c>
      <c r="H115">
        <v>1202</v>
      </c>
      <c r="I115" t="s">
        <v>640</v>
      </c>
      <c r="K115"/>
    </row>
    <row r="116" spans="1:11">
      <c r="A116" s="73">
        <v>45691</v>
      </c>
      <c r="B116" t="s">
        <v>14</v>
      </c>
      <c r="C116">
        <v>927</v>
      </c>
      <c r="D116">
        <v>358</v>
      </c>
      <c r="E116">
        <v>177554</v>
      </c>
      <c r="F116">
        <v>6.95</v>
      </c>
      <c r="G116">
        <v>48270</v>
      </c>
      <c r="H116">
        <v>569</v>
      </c>
      <c r="I116" t="s">
        <v>640</v>
      </c>
      <c r="K116"/>
    </row>
    <row r="117" spans="1:11">
      <c r="A117" s="73">
        <v>45684</v>
      </c>
      <c r="B117" t="s">
        <v>14</v>
      </c>
      <c r="C117">
        <v>1501</v>
      </c>
      <c r="D117">
        <v>75</v>
      </c>
      <c r="E117">
        <v>262569</v>
      </c>
      <c r="F117">
        <v>2.0099999999999998</v>
      </c>
      <c r="G117">
        <v>19119</v>
      </c>
      <c r="H117">
        <v>1426</v>
      </c>
      <c r="I117" t="s">
        <v>641</v>
      </c>
      <c r="K117"/>
    </row>
    <row r="118" spans="1:11">
      <c r="A118" s="73">
        <v>45677</v>
      </c>
      <c r="B118" t="s">
        <v>14</v>
      </c>
      <c r="C118">
        <v>1040</v>
      </c>
      <c r="D118">
        <v>149</v>
      </c>
      <c r="E118">
        <v>124404</v>
      </c>
      <c r="F118">
        <v>5.23</v>
      </c>
      <c r="G118">
        <v>45380</v>
      </c>
      <c r="H118">
        <v>891</v>
      </c>
      <c r="I118" t="s">
        <v>641</v>
      </c>
      <c r="K118"/>
    </row>
    <row r="119" spans="1:11">
      <c r="A119" s="73">
        <v>45670</v>
      </c>
      <c r="B119" t="s">
        <v>14</v>
      </c>
      <c r="C119">
        <v>118</v>
      </c>
      <c r="D119">
        <v>262</v>
      </c>
      <c r="E119">
        <v>487896</v>
      </c>
      <c r="F119">
        <v>2.56</v>
      </c>
      <c r="G119">
        <v>12350</v>
      </c>
      <c r="H119">
        <v>-144</v>
      </c>
      <c r="I119" t="s">
        <v>641</v>
      </c>
      <c r="K119"/>
    </row>
    <row r="120" spans="1:11">
      <c r="A120" s="73">
        <v>45663</v>
      </c>
      <c r="B120" t="s">
        <v>14</v>
      </c>
      <c r="C120">
        <v>1633</v>
      </c>
      <c r="D120">
        <v>445</v>
      </c>
      <c r="E120">
        <v>371156</v>
      </c>
      <c r="F120">
        <v>2.2200000000000002</v>
      </c>
      <c r="G120">
        <v>2798</v>
      </c>
      <c r="H120">
        <v>1188</v>
      </c>
      <c r="I120" t="s">
        <v>641</v>
      </c>
      <c r="K120"/>
    </row>
    <row r="121" spans="1:11">
      <c r="A121" s="73">
        <v>45656</v>
      </c>
      <c r="B121" t="s">
        <v>14</v>
      </c>
      <c r="C121">
        <v>1786</v>
      </c>
      <c r="D121">
        <v>257</v>
      </c>
      <c r="E121">
        <v>274831</v>
      </c>
      <c r="F121">
        <v>4.68</v>
      </c>
      <c r="G121">
        <v>9118</v>
      </c>
      <c r="H121">
        <v>1529</v>
      </c>
      <c r="I121" t="s">
        <v>642</v>
      </c>
      <c r="K121"/>
    </row>
    <row r="122" spans="1:11">
      <c r="A122" s="73">
        <v>45649</v>
      </c>
      <c r="B122" t="s">
        <v>14</v>
      </c>
      <c r="C122">
        <v>1137</v>
      </c>
      <c r="D122">
        <v>226</v>
      </c>
      <c r="E122">
        <v>81119</v>
      </c>
      <c r="F122">
        <v>7.74</v>
      </c>
      <c r="G122">
        <v>35359</v>
      </c>
      <c r="H122">
        <v>911</v>
      </c>
      <c r="I122" t="s">
        <v>642</v>
      </c>
      <c r="K122"/>
    </row>
    <row r="123" spans="1:11">
      <c r="A123" s="73">
        <v>45642</v>
      </c>
      <c r="B123" t="s">
        <v>14</v>
      </c>
      <c r="C123">
        <v>1592</v>
      </c>
      <c r="D123">
        <v>233</v>
      </c>
      <c r="E123">
        <v>327183</v>
      </c>
      <c r="F123">
        <v>6.66</v>
      </c>
      <c r="G123">
        <v>13316</v>
      </c>
      <c r="H123">
        <v>1359</v>
      </c>
      <c r="I123" t="s">
        <v>642</v>
      </c>
      <c r="K123"/>
    </row>
    <row r="124" spans="1:11">
      <c r="A124" s="73">
        <v>45635</v>
      </c>
      <c r="B124" t="s">
        <v>14</v>
      </c>
      <c r="C124">
        <v>1937</v>
      </c>
      <c r="D124">
        <v>210</v>
      </c>
      <c r="E124">
        <v>20607</v>
      </c>
      <c r="F124">
        <v>4.2</v>
      </c>
      <c r="G124">
        <v>20861</v>
      </c>
      <c r="H124">
        <v>1727</v>
      </c>
      <c r="I124" t="s">
        <v>642</v>
      </c>
      <c r="K124"/>
    </row>
    <row r="125" spans="1:11">
      <c r="A125" s="73">
        <v>45628</v>
      </c>
      <c r="B125" t="s">
        <v>14</v>
      </c>
      <c r="C125">
        <v>1441</v>
      </c>
      <c r="D125">
        <v>268</v>
      </c>
      <c r="E125">
        <v>309904</v>
      </c>
      <c r="F125">
        <v>6.37</v>
      </c>
      <c r="G125">
        <v>3455</v>
      </c>
      <c r="H125">
        <v>1173</v>
      </c>
      <c r="I125" t="s">
        <v>642</v>
      </c>
      <c r="K125"/>
    </row>
    <row r="126" spans="1:11">
      <c r="A126" s="73">
        <v>45621</v>
      </c>
      <c r="B126" t="s">
        <v>14</v>
      </c>
      <c r="C126">
        <v>330</v>
      </c>
      <c r="D126">
        <v>232</v>
      </c>
      <c r="E126">
        <v>88455</v>
      </c>
      <c r="F126">
        <v>2.69</v>
      </c>
      <c r="G126">
        <v>39530</v>
      </c>
      <c r="H126">
        <v>98</v>
      </c>
      <c r="I126" t="s">
        <v>643</v>
      </c>
      <c r="K126"/>
    </row>
    <row r="127" spans="1:11">
      <c r="A127" s="73">
        <v>45614</v>
      </c>
      <c r="B127" t="s">
        <v>14</v>
      </c>
      <c r="C127">
        <v>628</v>
      </c>
      <c r="D127">
        <v>183</v>
      </c>
      <c r="E127">
        <v>487523</v>
      </c>
      <c r="F127">
        <v>7.32</v>
      </c>
      <c r="G127">
        <v>5391</v>
      </c>
      <c r="H127">
        <v>445</v>
      </c>
      <c r="I127" t="s">
        <v>643</v>
      </c>
      <c r="K127"/>
    </row>
    <row r="128" spans="1:11">
      <c r="A128" s="73">
        <v>45607</v>
      </c>
      <c r="B128" t="s">
        <v>14</v>
      </c>
      <c r="C128">
        <v>1487</v>
      </c>
      <c r="D128">
        <v>337</v>
      </c>
      <c r="E128">
        <v>87305</v>
      </c>
      <c r="F128">
        <v>2.46</v>
      </c>
      <c r="G128">
        <v>30428</v>
      </c>
      <c r="H128">
        <v>1150</v>
      </c>
      <c r="I128" t="s">
        <v>643</v>
      </c>
      <c r="K128"/>
    </row>
    <row r="129" spans="1:11">
      <c r="A129" s="73">
        <v>45600</v>
      </c>
      <c r="B129" t="s">
        <v>14</v>
      </c>
      <c r="C129">
        <v>1821</v>
      </c>
      <c r="D129">
        <v>218</v>
      </c>
      <c r="E129">
        <v>439080</v>
      </c>
      <c r="F129">
        <v>5.68</v>
      </c>
      <c r="G129">
        <v>36095</v>
      </c>
      <c r="H129">
        <v>1603</v>
      </c>
      <c r="I129" t="s">
        <v>643</v>
      </c>
      <c r="K129"/>
    </row>
    <row r="130" spans="1:11">
      <c r="A130" s="73">
        <v>45593</v>
      </c>
      <c r="B130" t="s">
        <v>14</v>
      </c>
      <c r="C130">
        <v>191</v>
      </c>
      <c r="D130">
        <v>154</v>
      </c>
      <c r="E130">
        <v>240550</v>
      </c>
      <c r="F130">
        <v>5.22</v>
      </c>
      <c r="G130">
        <v>15827</v>
      </c>
      <c r="H130">
        <v>37</v>
      </c>
      <c r="I130" t="s">
        <v>644</v>
      </c>
      <c r="K130"/>
    </row>
    <row r="131" spans="1:11">
      <c r="A131" s="73">
        <v>45586</v>
      </c>
      <c r="B131" t="s">
        <v>14</v>
      </c>
      <c r="C131">
        <v>697</v>
      </c>
      <c r="D131">
        <v>61</v>
      </c>
      <c r="E131">
        <v>258287</v>
      </c>
      <c r="F131">
        <v>8.25</v>
      </c>
      <c r="G131">
        <v>21208</v>
      </c>
      <c r="H131">
        <v>636</v>
      </c>
      <c r="I131" t="s">
        <v>644</v>
      </c>
      <c r="K131"/>
    </row>
    <row r="132" spans="1:11">
      <c r="A132" s="73">
        <v>45579</v>
      </c>
      <c r="B132" t="s">
        <v>14</v>
      </c>
      <c r="C132">
        <v>201</v>
      </c>
      <c r="D132">
        <v>221</v>
      </c>
      <c r="E132">
        <v>309772</v>
      </c>
      <c r="F132">
        <v>5.9</v>
      </c>
      <c r="G132">
        <v>33174</v>
      </c>
      <c r="H132">
        <v>-20</v>
      </c>
      <c r="I132" t="s">
        <v>644</v>
      </c>
      <c r="K132"/>
    </row>
    <row r="133" spans="1:11">
      <c r="A133" s="73">
        <v>45572</v>
      </c>
      <c r="B133" t="s">
        <v>14</v>
      </c>
      <c r="C133">
        <v>437</v>
      </c>
      <c r="D133">
        <v>330</v>
      </c>
      <c r="E133">
        <v>476486</v>
      </c>
      <c r="F133">
        <v>4.97</v>
      </c>
      <c r="G133">
        <v>4509</v>
      </c>
      <c r="H133">
        <v>107</v>
      </c>
      <c r="I133" t="s">
        <v>644</v>
      </c>
      <c r="K133"/>
    </row>
    <row r="134" spans="1:11">
      <c r="A134" s="73">
        <v>45565</v>
      </c>
      <c r="B134" t="s">
        <v>14</v>
      </c>
      <c r="C134">
        <v>752</v>
      </c>
      <c r="D134">
        <v>153</v>
      </c>
      <c r="E134">
        <v>64906</v>
      </c>
      <c r="F134">
        <v>2.09</v>
      </c>
      <c r="G134">
        <v>12148</v>
      </c>
      <c r="H134">
        <v>599</v>
      </c>
      <c r="I134" t="s">
        <v>645</v>
      </c>
      <c r="K134"/>
    </row>
    <row r="135" spans="1:11">
      <c r="A135" s="73">
        <v>45558</v>
      </c>
      <c r="B135" t="s">
        <v>14</v>
      </c>
      <c r="C135">
        <v>1911</v>
      </c>
      <c r="D135">
        <v>231</v>
      </c>
      <c r="E135">
        <v>268516</v>
      </c>
      <c r="F135">
        <v>8.5500000000000007</v>
      </c>
      <c r="G135">
        <v>24018</v>
      </c>
      <c r="H135">
        <v>1680</v>
      </c>
      <c r="I135" t="s">
        <v>645</v>
      </c>
      <c r="K135"/>
    </row>
    <row r="136" spans="1:11">
      <c r="A136" s="73">
        <v>45551</v>
      </c>
      <c r="B136" t="s">
        <v>14</v>
      </c>
      <c r="C136">
        <v>1472</v>
      </c>
      <c r="D136">
        <v>347</v>
      </c>
      <c r="E136">
        <v>392355</v>
      </c>
      <c r="F136">
        <v>8.59</v>
      </c>
      <c r="G136">
        <v>30270</v>
      </c>
      <c r="H136">
        <v>1125</v>
      </c>
      <c r="I136" t="s">
        <v>645</v>
      </c>
      <c r="K136"/>
    </row>
    <row r="137" spans="1:11">
      <c r="A137" s="73">
        <v>45544</v>
      </c>
      <c r="B137" t="s">
        <v>14</v>
      </c>
      <c r="C137">
        <v>751</v>
      </c>
      <c r="D137">
        <v>491</v>
      </c>
      <c r="E137">
        <v>434047</v>
      </c>
      <c r="F137">
        <v>9.24</v>
      </c>
      <c r="G137">
        <v>15476</v>
      </c>
      <c r="H137">
        <v>260</v>
      </c>
      <c r="I137" t="s">
        <v>645</v>
      </c>
      <c r="K137"/>
    </row>
    <row r="138" spans="1:11">
      <c r="A138" s="73">
        <v>45537</v>
      </c>
      <c r="B138" t="s">
        <v>14</v>
      </c>
      <c r="C138">
        <v>557</v>
      </c>
      <c r="D138">
        <v>360</v>
      </c>
      <c r="E138">
        <v>318779</v>
      </c>
      <c r="F138">
        <v>8.02</v>
      </c>
      <c r="G138">
        <v>25797</v>
      </c>
      <c r="H138">
        <v>197</v>
      </c>
      <c r="I138" t="s">
        <v>645</v>
      </c>
      <c r="K138"/>
    </row>
    <row r="139" spans="1:11">
      <c r="A139" s="73">
        <v>45530</v>
      </c>
      <c r="B139" t="s">
        <v>14</v>
      </c>
      <c r="C139">
        <v>1300</v>
      </c>
      <c r="D139">
        <v>71</v>
      </c>
      <c r="E139">
        <v>186454</v>
      </c>
      <c r="F139">
        <v>3.91</v>
      </c>
      <c r="G139">
        <v>9942</v>
      </c>
      <c r="H139">
        <v>1229</v>
      </c>
      <c r="I139" t="s">
        <v>646</v>
      </c>
      <c r="K139"/>
    </row>
    <row r="140" spans="1:11">
      <c r="A140" s="73">
        <v>45523</v>
      </c>
      <c r="B140" t="s">
        <v>14</v>
      </c>
      <c r="C140">
        <v>1751</v>
      </c>
      <c r="D140">
        <v>86</v>
      </c>
      <c r="E140">
        <v>188655</v>
      </c>
      <c r="F140">
        <v>7.24</v>
      </c>
      <c r="G140">
        <v>22206</v>
      </c>
      <c r="H140">
        <v>1665</v>
      </c>
      <c r="I140" t="s">
        <v>646</v>
      </c>
      <c r="K140"/>
    </row>
    <row r="141" spans="1:11">
      <c r="A141" s="73">
        <v>45516</v>
      </c>
      <c r="B141" t="s">
        <v>14</v>
      </c>
      <c r="C141">
        <v>485</v>
      </c>
      <c r="D141">
        <v>448</v>
      </c>
      <c r="E141">
        <v>434883</v>
      </c>
      <c r="F141">
        <v>8.5500000000000007</v>
      </c>
      <c r="G141">
        <v>33258</v>
      </c>
      <c r="H141">
        <v>37</v>
      </c>
      <c r="I141" t="s">
        <v>646</v>
      </c>
      <c r="K141"/>
    </row>
    <row r="142" spans="1:11">
      <c r="A142" s="73">
        <v>45509</v>
      </c>
      <c r="B142" t="s">
        <v>14</v>
      </c>
      <c r="C142">
        <v>826</v>
      </c>
      <c r="D142">
        <v>498</v>
      </c>
      <c r="E142">
        <v>449994</v>
      </c>
      <c r="F142">
        <v>9.43</v>
      </c>
      <c r="G142">
        <v>12384</v>
      </c>
      <c r="H142">
        <v>328</v>
      </c>
      <c r="I142" t="s">
        <v>646</v>
      </c>
      <c r="K142"/>
    </row>
    <row r="143" spans="1:11">
      <c r="A143" s="73">
        <v>45502</v>
      </c>
      <c r="B143" t="s">
        <v>14</v>
      </c>
      <c r="C143">
        <v>1756</v>
      </c>
      <c r="D143">
        <v>261</v>
      </c>
      <c r="E143">
        <v>287574</v>
      </c>
      <c r="F143">
        <v>4.3600000000000003</v>
      </c>
      <c r="G143">
        <v>39272</v>
      </c>
      <c r="H143">
        <v>1495</v>
      </c>
      <c r="I143" t="s">
        <v>647</v>
      </c>
      <c r="K143"/>
    </row>
    <row r="144" spans="1:11">
      <c r="A144" s="73">
        <v>45495</v>
      </c>
      <c r="B144" t="s">
        <v>14</v>
      </c>
      <c r="C144">
        <v>1701</v>
      </c>
      <c r="D144">
        <v>385</v>
      </c>
      <c r="E144">
        <v>198278</v>
      </c>
      <c r="F144">
        <v>5.34</v>
      </c>
      <c r="G144">
        <v>32763</v>
      </c>
      <c r="H144">
        <v>1316</v>
      </c>
      <c r="I144" t="s">
        <v>647</v>
      </c>
      <c r="K144"/>
    </row>
    <row r="145" spans="1:11">
      <c r="A145" s="73">
        <v>45488</v>
      </c>
      <c r="B145" t="s">
        <v>14</v>
      </c>
      <c r="C145">
        <v>704</v>
      </c>
      <c r="D145">
        <v>275</v>
      </c>
      <c r="E145">
        <v>226002</v>
      </c>
      <c r="F145">
        <v>8.56</v>
      </c>
      <c r="G145">
        <v>32393</v>
      </c>
      <c r="H145">
        <v>429</v>
      </c>
      <c r="I145" t="s">
        <v>647</v>
      </c>
      <c r="K145"/>
    </row>
    <row r="146" spans="1:11">
      <c r="A146" s="73">
        <v>45481</v>
      </c>
      <c r="B146" t="s">
        <v>14</v>
      </c>
      <c r="C146">
        <v>987</v>
      </c>
      <c r="D146">
        <v>440</v>
      </c>
      <c r="E146">
        <v>389810</v>
      </c>
      <c r="F146">
        <v>4.66</v>
      </c>
      <c r="G146">
        <v>2932</v>
      </c>
      <c r="H146">
        <v>547</v>
      </c>
      <c r="I146" t="s">
        <v>647</v>
      </c>
      <c r="K146"/>
    </row>
    <row r="147" spans="1:11">
      <c r="A147" s="73">
        <v>45474</v>
      </c>
      <c r="B147" t="s">
        <v>14</v>
      </c>
      <c r="C147">
        <v>1420</v>
      </c>
      <c r="D147">
        <v>63</v>
      </c>
      <c r="E147">
        <v>315305</v>
      </c>
      <c r="F147">
        <v>6.19</v>
      </c>
      <c r="G147">
        <v>5914</v>
      </c>
      <c r="H147">
        <v>1357</v>
      </c>
      <c r="I147" t="s">
        <v>647</v>
      </c>
      <c r="K147"/>
    </row>
    <row r="148" spans="1:11">
      <c r="A148" s="73">
        <v>45467</v>
      </c>
      <c r="B148" t="s">
        <v>14</v>
      </c>
      <c r="C148">
        <v>1238</v>
      </c>
      <c r="D148">
        <v>403</v>
      </c>
      <c r="E148">
        <v>298421</v>
      </c>
      <c r="F148">
        <v>3.5</v>
      </c>
      <c r="G148">
        <v>31280</v>
      </c>
      <c r="H148">
        <v>835</v>
      </c>
      <c r="I148" t="s">
        <v>648</v>
      </c>
      <c r="K148"/>
    </row>
    <row r="149" spans="1:11">
      <c r="A149" s="73">
        <v>45460</v>
      </c>
      <c r="B149" t="s">
        <v>14</v>
      </c>
      <c r="C149">
        <v>1335</v>
      </c>
      <c r="D149">
        <v>40</v>
      </c>
      <c r="E149">
        <v>122732</v>
      </c>
      <c r="F149">
        <v>8.19</v>
      </c>
      <c r="G149">
        <v>22482</v>
      </c>
      <c r="H149">
        <v>1295</v>
      </c>
      <c r="I149" t="s">
        <v>648</v>
      </c>
      <c r="K149"/>
    </row>
    <row r="150" spans="1:11">
      <c r="A150" s="73">
        <v>45453</v>
      </c>
      <c r="B150" t="s">
        <v>14</v>
      </c>
      <c r="C150">
        <v>436</v>
      </c>
      <c r="D150">
        <v>250</v>
      </c>
      <c r="E150">
        <v>254347</v>
      </c>
      <c r="F150">
        <v>4.01</v>
      </c>
      <c r="G150">
        <v>8912</v>
      </c>
      <c r="H150">
        <v>186</v>
      </c>
      <c r="I150" t="s">
        <v>648</v>
      </c>
      <c r="K150"/>
    </row>
    <row r="151" spans="1:11">
      <c r="A151" s="73">
        <v>45446</v>
      </c>
      <c r="B151" t="s">
        <v>14</v>
      </c>
      <c r="C151">
        <v>584</v>
      </c>
      <c r="D151">
        <v>169</v>
      </c>
      <c r="E151">
        <v>146834</v>
      </c>
      <c r="F151">
        <v>8.31</v>
      </c>
      <c r="G151">
        <v>26752</v>
      </c>
      <c r="H151">
        <v>415</v>
      </c>
      <c r="I151" t="s">
        <v>648</v>
      </c>
      <c r="K151"/>
    </row>
    <row r="152" spans="1:11">
      <c r="A152" s="73">
        <v>45789</v>
      </c>
      <c r="B152" t="s">
        <v>27</v>
      </c>
      <c r="C152">
        <v>119</v>
      </c>
      <c r="D152">
        <v>456</v>
      </c>
      <c r="E152">
        <v>82558</v>
      </c>
      <c r="F152">
        <v>6.81</v>
      </c>
      <c r="G152">
        <v>12174</v>
      </c>
      <c r="H152">
        <v>-337</v>
      </c>
      <c r="I152" t="s">
        <v>637</v>
      </c>
      <c r="K152"/>
    </row>
    <row r="153" spans="1:11">
      <c r="A153" s="73">
        <v>45782</v>
      </c>
      <c r="B153" t="s">
        <v>27</v>
      </c>
      <c r="C153">
        <v>1035</v>
      </c>
      <c r="D153">
        <v>171</v>
      </c>
      <c r="E153">
        <v>148477</v>
      </c>
      <c r="F153">
        <v>5.21</v>
      </c>
      <c r="G153">
        <v>7541</v>
      </c>
      <c r="H153">
        <v>864</v>
      </c>
      <c r="I153" t="s">
        <v>637</v>
      </c>
      <c r="K153"/>
    </row>
    <row r="154" spans="1:11">
      <c r="A154" s="73">
        <v>45775</v>
      </c>
      <c r="B154" t="s">
        <v>27</v>
      </c>
      <c r="C154">
        <v>777</v>
      </c>
      <c r="D154">
        <v>140</v>
      </c>
      <c r="E154">
        <v>11435</v>
      </c>
      <c r="F154">
        <v>1.6</v>
      </c>
      <c r="G154">
        <v>6832</v>
      </c>
      <c r="H154">
        <v>637</v>
      </c>
      <c r="I154" t="s">
        <v>638</v>
      </c>
      <c r="K154"/>
    </row>
    <row r="155" spans="1:11">
      <c r="A155" s="73">
        <v>45768</v>
      </c>
      <c r="B155" t="s">
        <v>27</v>
      </c>
      <c r="C155">
        <v>1707</v>
      </c>
      <c r="D155">
        <v>74</v>
      </c>
      <c r="E155">
        <v>270958</v>
      </c>
      <c r="F155">
        <v>3.09</v>
      </c>
      <c r="G155">
        <v>14090</v>
      </c>
      <c r="H155">
        <v>1633</v>
      </c>
      <c r="I155" t="s">
        <v>638</v>
      </c>
      <c r="K155"/>
    </row>
    <row r="156" spans="1:11">
      <c r="A156" s="73">
        <v>45761</v>
      </c>
      <c r="B156" t="s">
        <v>27</v>
      </c>
      <c r="C156">
        <v>520</v>
      </c>
      <c r="D156">
        <v>375</v>
      </c>
      <c r="E156">
        <v>369525</v>
      </c>
      <c r="F156">
        <v>6.54</v>
      </c>
      <c r="G156">
        <v>20733</v>
      </c>
      <c r="H156">
        <v>145</v>
      </c>
      <c r="I156" t="s">
        <v>638</v>
      </c>
      <c r="K156"/>
    </row>
    <row r="157" spans="1:11">
      <c r="A157" s="73">
        <v>45754</v>
      </c>
      <c r="B157" t="s">
        <v>27</v>
      </c>
      <c r="C157">
        <v>623</v>
      </c>
      <c r="D157">
        <v>414</v>
      </c>
      <c r="E157">
        <v>290354</v>
      </c>
      <c r="F157">
        <v>6.49</v>
      </c>
      <c r="G157">
        <v>39923</v>
      </c>
      <c r="H157">
        <v>209</v>
      </c>
      <c r="I157" t="s">
        <v>638</v>
      </c>
      <c r="K157"/>
    </row>
    <row r="158" spans="1:11">
      <c r="A158" s="73">
        <v>45747</v>
      </c>
      <c r="B158" t="s">
        <v>27</v>
      </c>
      <c r="C158">
        <v>1957</v>
      </c>
      <c r="D158">
        <v>490</v>
      </c>
      <c r="E158">
        <v>435726</v>
      </c>
      <c r="F158">
        <v>4.7300000000000004</v>
      </c>
      <c r="G158">
        <v>15969</v>
      </c>
      <c r="H158">
        <v>1467</v>
      </c>
      <c r="I158" t="s">
        <v>639</v>
      </c>
      <c r="K158"/>
    </row>
    <row r="159" spans="1:11">
      <c r="A159" s="73">
        <v>45740</v>
      </c>
      <c r="B159" t="s">
        <v>27</v>
      </c>
      <c r="C159">
        <v>442</v>
      </c>
      <c r="D159">
        <v>53</v>
      </c>
      <c r="E159">
        <v>441931</v>
      </c>
      <c r="F159">
        <v>1.87</v>
      </c>
      <c r="G159">
        <v>20059</v>
      </c>
      <c r="H159">
        <v>389</v>
      </c>
      <c r="I159" t="s">
        <v>639</v>
      </c>
      <c r="K159"/>
    </row>
    <row r="160" spans="1:11">
      <c r="A160" s="73">
        <v>45733</v>
      </c>
      <c r="B160" t="s">
        <v>27</v>
      </c>
      <c r="C160">
        <v>1596</v>
      </c>
      <c r="D160">
        <v>211</v>
      </c>
      <c r="E160">
        <v>17380</v>
      </c>
      <c r="F160">
        <v>8.64</v>
      </c>
      <c r="G160">
        <v>35801</v>
      </c>
      <c r="H160">
        <v>1385</v>
      </c>
      <c r="I160" t="s">
        <v>639</v>
      </c>
      <c r="K160"/>
    </row>
    <row r="161" spans="1:11">
      <c r="A161" s="73">
        <v>45726</v>
      </c>
      <c r="B161" t="s">
        <v>27</v>
      </c>
      <c r="C161">
        <v>1658</v>
      </c>
      <c r="D161">
        <v>416</v>
      </c>
      <c r="E161">
        <v>98397</v>
      </c>
      <c r="F161">
        <v>6.11</v>
      </c>
      <c r="G161">
        <v>11383</v>
      </c>
      <c r="H161">
        <v>1242</v>
      </c>
      <c r="I161" t="s">
        <v>639</v>
      </c>
      <c r="K161"/>
    </row>
    <row r="162" spans="1:11">
      <c r="A162" s="73">
        <v>45719</v>
      </c>
      <c r="B162" t="s">
        <v>27</v>
      </c>
      <c r="C162">
        <v>510</v>
      </c>
      <c r="D162">
        <v>195</v>
      </c>
      <c r="E162">
        <v>224534</v>
      </c>
      <c r="F162">
        <v>9.4</v>
      </c>
      <c r="G162">
        <v>30987</v>
      </c>
      <c r="H162">
        <v>315</v>
      </c>
      <c r="I162" t="s">
        <v>639</v>
      </c>
      <c r="K162"/>
    </row>
    <row r="163" spans="1:11">
      <c r="A163" s="73">
        <v>45712</v>
      </c>
      <c r="B163" t="s">
        <v>27</v>
      </c>
      <c r="C163">
        <v>1063</v>
      </c>
      <c r="D163">
        <v>47</v>
      </c>
      <c r="E163">
        <v>464239</v>
      </c>
      <c r="F163">
        <v>6.58</v>
      </c>
      <c r="G163">
        <v>39031</v>
      </c>
      <c r="H163">
        <v>1016</v>
      </c>
      <c r="I163" t="s">
        <v>640</v>
      </c>
      <c r="K163"/>
    </row>
    <row r="164" spans="1:11">
      <c r="A164" s="73">
        <v>45705</v>
      </c>
      <c r="B164" t="s">
        <v>27</v>
      </c>
      <c r="C164">
        <v>1662</v>
      </c>
      <c r="D164">
        <v>487</v>
      </c>
      <c r="E164">
        <v>105980</v>
      </c>
      <c r="F164">
        <v>9.08</v>
      </c>
      <c r="G164">
        <v>22996</v>
      </c>
      <c r="H164">
        <v>1175</v>
      </c>
      <c r="I164" t="s">
        <v>640</v>
      </c>
      <c r="K164"/>
    </row>
    <row r="165" spans="1:11">
      <c r="A165" s="73">
        <v>45698</v>
      </c>
      <c r="B165" t="s">
        <v>27</v>
      </c>
      <c r="C165">
        <v>1707</v>
      </c>
      <c r="D165">
        <v>263</v>
      </c>
      <c r="E165">
        <v>485280</v>
      </c>
      <c r="F165">
        <v>9.0299999999999994</v>
      </c>
      <c r="G165">
        <v>24494</v>
      </c>
      <c r="H165">
        <v>1444</v>
      </c>
      <c r="I165" t="s">
        <v>640</v>
      </c>
      <c r="K165"/>
    </row>
    <row r="166" spans="1:11">
      <c r="A166" s="73">
        <v>45691</v>
      </c>
      <c r="B166" t="s">
        <v>27</v>
      </c>
      <c r="C166">
        <v>152</v>
      </c>
      <c r="D166">
        <v>355</v>
      </c>
      <c r="E166">
        <v>270766</v>
      </c>
      <c r="F166">
        <v>9.48</v>
      </c>
      <c r="G166">
        <v>18001</v>
      </c>
      <c r="H166">
        <v>-203</v>
      </c>
      <c r="I166" t="s">
        <v>640</v>
      </c>
      <c r="K166"/>
    </row>
    <row r="167" spans="1:11">
      <c r="A167" s="73">
        <v>45684</v>
      </c>
      <c r="B167" t="s">
        <v>27</v>
      </c>
      <c r="C167">
        <v>1411</v>
      </c>
      <c r="D167">
        <v>186</v>
      </c>
      <c r="E167">
        <v>461669</v>
      </c>
      <c r="F167">
        <v>3.72</v>
      </c>
      <c r="G167">
        <v>43999</v>
      </c>
      <c r="H167">
        <v>1225</v>
      </c>
      <c r="I167" t="s">
        <v>641</v>
      </c>
      <c r="K167"/>
    </row>
    <row r="168" spans="1:11">
      <c r="A168" s="73">
        <v>45677</v>
      </c>
      <c r="B168" t="s">
        <v>27</v>
      </c>
      <c r="C168">
        <v>1166</v>
      </c>
      <c r="D168">
        <v>442</v>
      </c>
      <c r="E168">
        <v>336949</v>
      </c>
      <c r="F168">
        <v>4.68</v>
      </c>
      <c r="G168">
        <v>7705</v>
      </c>
      <c r="H168">
        <v>724</v>
      </c>
      <c r="I168" t="s">
        <v>641</v>
      </c>
      <c r="K168"/>
    </row>
    <row r="169" spans="1:11">
      <c r="A169" s="73">
        <v>45670</v>
      </c>
      <c r="B169" t="s">
        <v>27</v>
      </c>
      <c r="C169">
        <v>1331</v>
      </c>
      <c r="D169">
        <v>430</v>
      </c>
      <c r="E169">
        <v>14437</v>
      </c>
      <c r="F169">
        <v>3.29</v>
      </c>
      <c r="G169">
        <v>40868</v>
      </c>
      <c r="H169">
        <v>901</v>
      </c>
      <c r="I169" t="s">
        <v>641</v>
      </c>
      <c r="K169"/>
    </row>
    <row r="170" spans="1:11">
      <c r="A170" s="73">
        <v>45663</v>
      </c>
      <c r="B170" t="s">
        <v>27</v>
      </c>
      <c r="C170">
        <v>891</v>
      </c>
      <c r="D170">
        <v>45</v>
      </c>
      <c r="E170">
        <v>95410</v>
      </c>
      <c r="F170">
        <v>8.33</v>
      </c>
      <c r="G170">
        <v>15045</v>
      </c>
      <c r="H170">
        <v>846</v>
      </c>
      <c r="I170" t="s">
        <v>641</v>
      </c>
      <c r="K170"/>
    </row>
    <row r="171" spans="1:11">
      <c r="A171" s="73">
        <v>45656</v>
      </c>
      <c r="B171" t="s">
        <v>27</v>
      </c>
      <c r="C171">
        <v>1495</v>
      </c>
      <c r="D171">
        <v>35</v>
      </c>
      <c r="E171">
        <v>136845</v>
      </c>
      <c r="F171">
        <v>4.4800000000000004</v>
      </c>
      <c r="G171">
        <v>39931</v>
      </c>
      <c r="H171">
        <v>1460</v>
      </c>
      <c r="I171" t="s">
        <v>642</v>
      </c>
      <c r="K171"/>
    </row>
    <row r="172" spans="1:11">
      <c r="A172" s="73">
        <v>45649</v>
      </c>
      <c r="B172" t="s">
        <v>27</v>
      </c>
      <c r="C172">
        <v>1900</v>
      </c>
      <c r="D172">
        <v>311</v>
      </c>
      <c r="E172">
        <v>25177</v>
      </c>
      <c r="F172">
        <v>2.89</v>
      </c>
      <c r="G172">
        <v>14154</v>
      </c>
      <c r="H172">
        <v>1589</v>
      </c>
      <c r="I172" t="s">
        <v>642</v>
      </c>
      <c r="K172"/>
    </row>
    <row r="173" spans="1:11">
      <c r="A173" s="73">
        <v>45642</v>
      </c>
      <c r="B173" t="s">
        <v>27</v>
      </c>
      <c r="C173">
        <v>1004</v>
      </c>
      <c r="D173">
        <v>128</v>
      </c>
      <c r="E173">
        <v>488901</v>
      </c>
      <c r="F173">
        <v>8.09</v>
      </c>
      <c r="G173">
        <v>49558</v>
      </c>
      <c r="H173">
        <v>876</v>
      </c>
      <c r="I173" t="s">
        <v>642</v>
      </c>
      <c r="K173"/>
    </row>
    <row r="174" spans="1:11">
      <c r="A174" s="73">
        <v>45635</v>
      </c>
      <c r="B174" t="s">
        <v>27</v>
      </c>
      <c r="C174">
        <v>736</v>
      </c>
      <c r="D174">
        <v>163</v>
      </c>
      <c r="E174">
        <v>451894</v>
      </c>
      <c r="F174">
        <v>5.43</v>
      </c>
      <c r="G174">
        <v>46625</v>
      </c>
      <c r="H174">
        <v>573</v>
      </c>
      <c r="I174" t="s">
        <v>642</v>
      </c>
      <c r="K174"/>
    </row>
    <row r="175" spans="1:11">
      <c r="A175" s="73">
        <v>45628</v>
      </c>
      <c r="B175" t="s">
        <v>27</v>
      </c>
      <c r="C175">
        <v>452</v>
      </c>
      <c r="D175">
        <v>161</v>
      </c>
      <c r="E175">
        <v>221274</v>
      </c>
      <c r="F175">
        <v>2.65</v>
      </c>
      <c r="G175">
        <v>40888</v>
      </c>
      <c r="H175">
        <v>291</v>
      </c>
      <c r="I175" t="s">
        <v>642</v>
      </c>
      <c r="K175"/>
    </row>
    <row r="176" spans="1:11">
      <c r="A176" s="73">
        <v>45621</v>
      </c>
      <c r="B176" t="s">
        <v>27</v>
      </c>
      <c r="C176">
        <v>1293</v>
      </c>
      <c r="D176">
        <v>408</v>
      </c>
      <c r="E176">
        <v>62535</v>
      </c>
      <c r="F176">
        <v>8.9</v>
      </c>
      <c r="G176">
        <v>37876</v>
      </c>
      <c r="H176">
        <v>885</v>
      </c>
      <c r="I176" t="s">
        <v>643</v>
      </c>
      <c r="K176"/>
    </row>
    <row r="177" spans="1:11">
      <c r="A177" s="73">
        <v>45614</v>
      </c>
      <c r="B177" t="s">
        <v>27</v>
      </c>
      <c r="C177">
        <v>278</v>
      </c>
      <c r="D177">
        <v>218</v>
      </c>
      <c r="E177">
        <v>301695</v>
      </c>
      <c r="F177">
        <v>4.68</v>
      </c>
      <c r="G177">
        <v>22373</v>
      </c>
      <c r="H177">
        <v>60</v>
      </c>
      <c r="I177" t="s">
        <v>643</v>
      </c>
      <c r="K177"/>
    </row>
    <row r="178" spans="1:11">
      <c r="A178" s="73">
        <v>45607</v>
      </c>
      <c r="B178" t="s">
        <v>27</v>
      </c>
      <c r="C178">
        <v>454</v>
      </c>
      <c r="D178">
        <v>105</v>
      </c>
      <c r="E178">
        <v>121091</v>
      </c>
      <c r="F178">
        <v>7.97</v>
      </c>
      <c r="G178">
        <v>9269</v>
      </c>
      <c r="H178">
        <v>349</v>
      </c>
      <c r="I178" t="s">
        <v>643</v>
      </c>
      <c r="K178"/>
    </row>
    <row r="179" spans="1:11">
      <c r="A179" s="73">
        <v>45600</v>
      </c>
      <c r="B179" t="s">
        <v>27</v>
      </c>
      <c r="C179">
        <v>1507</v>
      </c>
      <c r="D179">
        <v>463</v>
      </c>
      <c r="E179">
        <v>258944</v>
      </c>
      <c r="F179">
        <v>6.08</v>
      </c>
      <c r="G179">
        <v>16443</v>
      </c>
      <c r="H179">
        <v>1044</v>
      </c>
      <c r="I179" t="s">
        <v>643</v>
      </c>
      <c r="K179"/>
    </row>
    <row r="180" spans="1:11">
      <c r="A180" s="73">
        <v>45593</v>
      </c>
      <c r="B180" t="s">
        <v>27</v>
      </c>
      <c r="C180">
        <v>1814</v>
      </c>
      <c r="D180">
        <v>157</v>
      </c>
      <c r="E180">
        <v>305827</v>
      </c>
      <c r="F180">
        <v>1.99</v>
      </c>
      <c r="G180">
        <v>46643</v>
      </c>
      <c r="H180">
        <v>1657</v>
      </c>
      <c r="I180" t="s">
        <v>644</v>
      </c>
      <c r="K180"/>
    </row>
    <row r="181" spans="1:11">
      <c r="A181" s="73">
        <v>45586</v>
      </c>
      <c r="B181" t="s">
        <v>27</v>
      </c>
      <c r="C181">
        <v>1707</v>
      </c>
      <c r="D181">
        <v>223</v>
      </c>
      <c r="E181">
        <v>256910</v>
      </c>
      <c r="F181">
        <v>5.41</v>
      </c>
      <c r="G181">
        <v>44321</v>
      </c>
      <c r="H181">
        <v>1484</v>
      </c>
      <c r="I181" t="s">
        <v>644</v>
      </c>
      <c r="K181"/>
    </row>
    <row r="182" spans="1:11">
      <c r="A182" s="73">
        <v>45579</v>
      </c>
      <c r="B182" t="s">
        <v>27</v>
      </c>
      <c r="C182">
        <v>414</v>
      </c>
      <c r="D182">
        <v>47</v>
      </c>
      <c r="E182">
        <v>199178</v>
      </c>
      <c r="F182">
        <v>1.53</v>
      </c>
      <c r="G182">
        <v>6742</v>
      </c>
      <c r="H182">
        <v>367</v>
      </c>
      <c r="I182" t="s">
        <v>644</v>
      </c>
      <c r="K182"/>
    </row>
    <row r="183" spans="1:11">
      <c r="A183" s="73">
        <v>45572</v>
      </c>
      <c r="B183" t="s">
        <v>27</v>
      </c>
      <c r="C183">
        <v>307</v>
      </c>
      <c r="D183">
        <v>189</v>
      </c>
      <c r="E183">
        <v>117767</v>
      </c>
      <c r="F183">
        <v>9.3000000000000007</v>
      </c>
      <c r="G183">
        <v>27822</v>
      </c>
      <c r="H183">
        <v>118</v>
      </c>
      <c r="I183" t="s">
        <v>644</v>
      </c>
      <c r="K183"/>
    </row>
    <row r="184" spans="1:11">
      <c r="A184" s="73">
        <v>45565</v>
      </c>
      <c r="B184" t="s">
        <v>27</v>
      </c>
      <c r="C184">
        <v>1918</v>
      </c>
      <c r="D184">
        <v>212</v>
      </c>
      <c r="E184">
        <v>94360</v>
      </c>
      <c r="F184">
        <v>7.36</v>
      </c>
      <c r="G184">
        <v>36851</v>
      </c>
      <c r="H184">
        <v>1706</v>
      </c>
      <c r="I184" t="s">
        <v>645</v>
      </c>
      <c r="K184"/>
    </row>
    <row r="185" spans="1:11">
      <c r="A185" s="73">
        <v>45558</v>
      </c>
      <c r="B185" t="s">
        <v>27</v>
      </c>
      <c r="C185">
        <v>1218</v>
      </c>
      <c r="D185">
        <v>212</v>
      </c>
      <c r="E185">
        <v>63177</v>
      </c>
      <c r="F185">
        <v>8.1300000000000008</v>
      </c>
      <c r="G185">
        <v>38883</v>
      </c>
      <c r="H185">
        <v>1006</v>
      </c>
      <c r="I185" t="s">
        <v>645</v>
      </c>
      <c r="K185"/>
    </row>
    <row r="186" spans="1:11">
      <c r="A186" s="73">
        <v>45551</v>
      </c>
      <c r="B186" t="s">
        <v>27</v>
      </c>
      <c r="C186">
        <v>123</v>
      </c>
      <c r="D186">
        <v>155</v>
      </c>
      <c r="E186">
        <v>119934</v>
      </c>
      <c r="F186">
        <v>3.5</v>
      </c>
      <c r="G186">
        <v>5442</v>
      </c>
      <c r="H186">
        <v>-32</v>
      </c>
      <c r="I186" t="s">
        <v>645</v>
      </c>
      <c r="K186"/>
    </row>
    <row r="187" spans="1:11">
      <c r="A187" s="73">
        <v>45544</v>
      </c>
      <c r="B187" t="s">
        <v>27</v>
      </c>
      <c r="C187">
        <v>1409</v>
      </c>
      <c r="D187">
        <v>309</v>
      </c>
      <c r="E187">
        <v>64583</v>
      </c>
      <c r="F187">
        <v>8.99</v>
      </c>
      <c r="G187">
        <v>10217</v>
      </c>
      <c r="H187">
        <v>1100</v>
      </c>
      <c r="I187" t="s">
        <v>645</v>
      </c>
      <c r="K187"/>
    </row>
    <row r="188" spans="1:11">
      <c r="A188" s="73">
        <v>45537</v>
      </c>
      <c r="B188" t="s">
        <v>27</v>
      </c>
      <c r="C188">
        <v>728</v>
      </c>
      <c r="D188">
        <v>395</v>
      </c>
      <c r="E188">
        <v>370971</v>
      </c>
      <c r="F188">
        <v>3.86</v>
      </c>
      <c r="G188">
        <v>12646</v>
      </c>
      <c r="H188">
        <v>333</v>
      </c>
      <c r="I188" t="s">
        <v>645</v>
      </c>
      <c r="K188"/>
    </row>
    <row r="189" spans="1:11">
      <c r="A189" s="73">
        <v>45530</v>
      </c>
      <c r="B189" t="s">
        <v>27</v>
      </c>
      <c r="C189">
        <v>422</v>
      </c>
      <c r="D189">
        <v>394</v>
      </c>
      <c r="E189">
        <v>239044</v>
      </c>
      <c r="F189">
        <v>7.83</v>
      </c>
      <c r="G189">
        <v>32929</v>
      </c>
      <c r="H189">
        <v>28</v>
      </c>
      <c r="I189" t="s">
        <v>646</v>
      </c>
      <c r="K189"/>
    </row>
    <row r="190" spans="1:11">
      <c r="A190" s="73">
        <v>45523</v>
      </c>
      <c r="B190" t="s">
        <v>27</v>
      </c>
      <c r="C190">
        <v>221</v>
      </c>
      <c r="D190">
        <v>31</v>
      </c>
      <c r="E190">
        <v>87443</v>
      </c>
      <c r="F190">
        <v>6.19</v>
      </c>
      <c r="G190">
        <v>10283</v>
      </c>
      <c r="H190">
        <v>190</v>
      </c>
      <c r="I190" t="s">
        <v>646</v>
      </c>
      <c r="K190"/>
    </row>
    <row r="191" spans="1:11">
      <c r="A191" s="73">
        <v>45516</v>
      </c>
      <c r="B191" t="s">
        <v>27</v>
      </c>
      <c r="C191">
        <v>1210</v>
      </c>
      <c r="D191">
        <v>178</v>
      </c>
      <c r="E191">
        <v>102042</v>
      </c>
      <c r="F191">
        <v>5.42</v>
      </c>
      <c r="G191">
        <v>6915</v>
      </c>
      <c r="H191">
        <v>1032</v>
      </c>
      <c r="I191" t="s">
        <v>646</v>
      </c>
      <c r="K191"/>
    </row>
    <row r="192" spans="1:11">
      <c r="A192" s="73">
        <v>45509</v>
      </c>
      <c r="B192" t="s">
        <v>27</v>
      </c>
      <c r="C192">
        <v>460</v>
      </c>
      <c r="D192">
        <v>141</v>
      </c>
      <c r="E192">
        <v>320650</v>
      </c>
      <c r="F192">
        <v>4.04</v>
      </c>
      <c r="G192">
        <v>49372</v>
      </c>
      <c r="H192">
        <v>319</v>
      </c>
      <c r="I192" t="s">
        <v>646</v>
      </c>
      <c r="K192"/>
    </row>
    <row r="193" spans="1:11">
      <c r="A193" s="73">
        <v>45502</v>
      </c>
      <c r="B193" t="s">
        <v>27</v>
      </c>
      <c r="C193">
        <v>576</v>
      </c>
      <c r="D193">
        <v>101</v>
      </c>
      <c r="E193">
        <v>62499</v>
      </c>
      <c r="F193">
        <v>3.48</v>
      </c>
      <c r="G193">
        <v>16804</v>
      </c>
      <c r="H193">
        <v>475</v>
      </c>
      <c r="I193" t="s">
        <v>647</v>
      </c>
      <c r="K193"/>
    </row>
    <row r="194" spans="1:11">
      <c r="A194" s="73">
        <v>45495</v>
      </c>
      <c r="B194" t="s">
        <v>27</v>
      </c>
      <c r="C194">
        <v>804</v>
      </c>
      <c r="D194">
        <v>487</v>
      </c>
      <c r="E194">
        <v>306564</v>
      </c>
      <c r="F194">
        <v>5.52</v>
      </c>
      <c r="G194">
        <v>26452</v>
      </c>
      <c r="H194">
        <v>317</v>
      </c>
      <c r="I194" t="s">
        <v>647</v>
      </c>
      <c r="K194"/>
    </row>
    <row r="195" spans="1:11">
      <c r="A195" s="73">
        <v>45488</v>
      </c>
      <c r="B195" t="s">
        <v>27</v>
      </c>
      <c r="C195">
        <v>224</v>
      </c>
      <c r="D195">
        <v>64</v>
      </c>
      <c r="E195">
        <v>156683</v>
      </c>
      <c r="F195">
        <v>4.5599999999999996</v>
      </c>
      <c r="G195">
        <v>28474</v>
      </c>
      <c r="H195">
        <v>160</v>
      </c>
      <c r="I195" t="s">
        <v>647</v>
      </c>
      <c r="K195"/>
    </row>
    <row r="196" spans="1:11">
      <c r="A196" s="73">
        <v>45481</v>
      </c>
      <c r="B196" t="s">
        <v>27</v>
      </c>
      <c r="C196">
        <v>883</v>
      </c>
      <c r="D196">
        <v>369</v>
      </c>
      <c r="E196">
        <v>233694</v>
      </c>
      <c r="F196">
        <v>2.88</v>
      </c>
      <c r="G196">
        <v>15071</v>
      </c>
      <c r="H196">
        <v>514</v>
      </c>
      <c r="I196" t="s">
        <v>647</v>
      </c>
      <c r="K196"/>
    </row>
    <row r="197" spans="1:11">
      <c r="A197" s="73">
        <v>45474</v>
      </c>
      <c r="B197" t="s">
        <v>27</v>
      </c>
      <c r="C197">
        <v>144</v>
      </c>
      <c r="D197">
        <v>53</v>
      </c>
      <c r="E197">
        <v>113678</v>
      </c>
      <c r="F197">
        <v>8.7200000000000006</v>
      </c>
      <c r="G197">
        <v>30060</v>
      </c>
      <c r="H197">
        <v>91</v>
      </c>
      <c r="I197" t="s">
        <v>647</v>
      </c>
      <c r="K197"/>
    </row>
    <row r="198" spans="1:11">
      <c r="A198" s="73">
        <v>45467</v>
      </c>
      <c r="B198" t="s">
        <v>27</v>
      </c>
      <c r="C198">
        <v>308</v>
      </c>
      <c r="D198">
        <v>431</v>
      </c>
      <c r="E198">
        <v>426184</v>
      </c>
      <c r="F198">
        <v>2.62</v>
      </c>
      <c r="G198">
        <v>1783</v>
      </c>
      <c r="H198">
        <v>-123</v>
      </c>
      <c r="I198" t="s">
        <v>648</v>
      </c>
      <c r="K198"/>
    </row>
    <row r="199" spans="1:11">
      <c r="A199" s="73">
        <v>45460</v>
      </c>
      <c r="B199" t="s">
        <v>27</v>
      </c>
      <c r="C199">
        <v>403</v>
      </c>
      <c r="D199">
        <v>66</v>
      </c>
      <c r="E199">
        <v>382851</v>
      </c>
      <c r="F199">
        <v>3.49</v>
      </c>
      <c r="G199">
        <v>24313</v>
      </c>
      <c r="H199">
        <v>337</v>
      </c>
      <c r="I199" t="s">
        <v>648</v>
      </c>
      <c r="K199"/>
    </row>
    <row r="200" spans="1:11">
      <c r="A200" s="73">
        <v>45453</v>
      </c>
      <c r="B200" t="s">
        <v>27</v>
      </c>
      <c r="C200">
        <v>1197</v>
      </c>
      <c r="D200">
        <v>203</v>
      </c>
      <c r="E200">
        <v>413878</v>
      </c>
      <c r="F200">
        <v>3.16</v>
      </c>
      <c r="G200">
        <v>21205</v>
      </c>
      <c r="H200">
        <v>994</v>
      </c>
      <c r="I200" t="s">
        <v>648</v>
      </c>
      <c r="K200"/>
    </row>
    <row r="201" spans="1:11">
      <c r="A201" s="73">
        <v>45446</v>
      </c>
      <c r="B201" t="s">
        <v>27</v>
      </c>
      <c r="C201">
        <v>1535</v>
      </c>
      <c r="D201">
        <v>445</v>
      </c>
      <c r="E201">
        <v>395536</v>
      </c>
      <c r="F201">
        <v>4.1100000000000003</v>
      </c>
      <c r="G201">
        <v>30671</v>
      </c>
      <c r="H201">
        <v>1090</v>
      </c>
      <c r="I201" t="s">
        <v>648</v>
      </c>
      <c r="K201"/>
    </row>
  </sheetData>
  <phoneticPr fontId="2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71DED-C6C9-4C4D-BFEA-71E19627C54E}">
  <sheetPr codeName="Sheet7"/>
  <dimension ref="A1:Q201"/>
  <sheetViews>
    <sheetView workbookViewId="0">
      <selection activeCell="H4" sqref="H4"/>
    </sheetView>
  </sheetViews>
  <sheetFormatPr defaultRowHeight="14.4"/>
  <cols>
    <col min="1" max="1" width="18" bestFit="1" customWidth="1"/>
    <col min="2" max="2" width="10.5546875" bestFit="1" customWidth="1"/>
    <col min="3" max="3" width="16" bestFit="1" customWidth="1"/>
    <col min="4" max="4" width="11.6640625" bestFit="1" customWidth="1"/>
    <col min="5" max="5" width="16.44140625" bestFit="1" customWidth="1"/>
    <col min="6" max="6" width="18.6640625" bestFit="1" customWidth="1"/>
    <col min="7" max="7" width="11.88671875" bestFit="1" customWidth="1"/>
    <col min="8" max="8" width="20" bestFit="1" customWidth="1"/>
    <col min="9" max="9" width="11.21875" customWidth="1"/>
    <col min="10" max="10" width="14.109375" bestFit="1" customWidth="1"/>
    <col min="11" max="11" width="9.109375" customWidth="1"/>
    <col min="12" max="12" width="24.33203125" bestFit="1" customWidth="1"/>
    <col min="13" max="13" width="15.5546875" bestFit="1" customWidth="1"/>
    <col min="14" max="14" width="9.44140625" bestFit="1" customWidth="1"/>
    <col min="15" max="15" width="6.88671875" bestFit="1" customWidth="1"/>
    <col min="16" max="16" width="8.44140625" bestFit="1" customWidth="1"/>
    <col min="17" max="18" width="10.77734375" bestFit="1" customWidth="1"/>
  </cols>
  <sheetData>
    <row r="1" spans="1:17">
      <c r="A1" t="s">
        <v>556</v>
      </c>
      <c r="B1" t="s">
        <v>1</v>
      </c>
      <c r="C1" t="s">
        <v>557</v>
      </c>
      <c r="D1" t="s">
        <v>558</v>
      </c>
      <c r="E1" t="s">
        <v>559</v>
      </c>
      <c r="F1" t="s">
        <v>560</v>
      </c>
      <c r="G1" t="s">
        <v>561</v>
      </c>
      <c r="H1" t="s">
        <v>596</v>
      </c>
      <c r="I1" t="s">
        <v>636</v>
      </c>
      <c r="J1" t="s">
        <v>649</v>
      </c>
    </row>
    <row r="2" spans="1:17">
      <c r="A2" s="73">
        <v>45789</v>
      </c>
      <c r="B2" t="s">
        <v>40</v>
      </c>
      <c r="C2">
        <v>837</v>
      </c>
      <c r="D2">
        <v>430</v>
      </c>
      <c r="E2">
        <v>364820</v>
      </c>
      <c r="F2">
        <v>4</v>
      </c>
      <c r="G2">
        <v>49400</v>
      </c>
      <c r="H2">
        <v>407</v>
      </c>
      <c r="I2" t="s">
        <v>637</v>
      </c>
      <c r="J2" t="s">
        <v>28</v>
      </c>
      <c r="L2" s="23" t="s">
        <v>621</v>
      </c>
      <c r="M2" s="23" t="s">
        <v>595</v>
      </c>
    </row>
    <row r="3" spans="1:17">
      <c r="A3" s="73">
        <v>45782</v>
      </c>
      <c r="B3" t="s">
        <v>40</v>
      </c>
      <c r="C3">
        <v>405</v>
      </c>
      <c r="D3">
        <v>66</v>
      </c>
      <c r="E3">
        <v>418696</v>
      </c>
      <c r="F3">
        <v>5.59</v>
      </c>
      <c r="G3">
        <v>48419</v>
      </c>
      <c r="H3">
        <v>339</v>
      </c>
      <c r="I3" t="s">
        <v>637</v>
      </c>
      <c r="J3" t="s">
        <v>76</v>
      </c>
      <c r="L3" s="23" t="s">
        <v>580</v>
      </c>
      <c r="M3" t="s">
        <v>40</v>
      </c>
      <c r="N3" t="s">
        <v>31</v>
      </c>
      <c r="O3" t="s">
        <v>14</v>
      </c>
      <c r="P3" t="s">
        <v>27</v>
      </c>
      <c r="Q3" t="s">
        <v>581</v>
      </c>
    </row>
    <row r="4" spans="1:17">
      <c r="A4" s="73">
        <v>45775</v>
      </c>
      <c r="B4" t="s">
        <v>40</v>
      </c>
      <c r="C4">
        <v>833</v>
      </c>
      <c r="D4">
        <v>380</v>
      </c>
      <c r="E4">
        <v>224830</v>
      </c>
      <c r="F4">
        <v>3.86</v>
      </c>
      <c r="G4">
        <v>3582</v>
      </c>
      <c r="H4">
        <v>453</v>
      </c>
      <c r="I4" t="s">
        <v>638</v>
      </c>
      <c r="J4" t="s">
        <v>359</v>
      </c>
      <c r="L4" s="24" t="s">
        <v>648</v>
      </c>
      <c r="M4">
        <v>5337</v>
      </c>
      <c r="N4">
        <v>3086</v>
      </c>
      <c r="O4">
        <v>2731</v>
      </c>
      <c r="P4">
        <v>2298</v>
      </c>
      <c r="Q4">
        <v>13452</v>
      </c>
    </row>
    <row r="5" spans="1:17">
      <c r="A5" s="73">
        <v>45768</v>
      </c>
      <c r="B5" t="s">
        <v>40</v>
      </c>
      <c r="C5">
        <v>1375</v>
      </c>
      <c r="D5">
        <v>330</v>
      </c>
      <c r="E5">
        <v>377382</v>
      </c>
      <c r="F5">
        <v>2.6</v>
      </c>
      <c r="G5">
        <v>7875</v>
      </c>
      <c r="H5">
        <v>1045</v>
      </c>
      <c r="I5" t="s">
        <v>638</v>
      </c>
      <c r="J5" t="s">
        <v>650</v>
      </c>
      <c r="L5" s="24" t="s">
        <v>647</v>
      </c>
      <c r="M5">
        <v>852</v>
      </c>
      <c r="N5">
        <v>3998</v>
      </c>
      <c r="O5">
        <v>5144</v>
      </c>
      <c r="P5">
        <v>1557</v>
      </c>
      <c r="Q5">
        <v>11551</v>
      </c>
    </row>
    <row r="6" spans="1:17">
      <c r="A6" s="73">
        <v>45761</v>
      </c>
      <c r="B6" t="s">
        <v>40</v>
      </c>
      <c r="C6">
        <v>198</v>
      </c>
      <c r="D6">
        <v>373</v>
      </c>
      <c r="E6">
        <v>70707</v>
      </c>
      <c r="F6">
        <v>4.83</v>
      </c>
      <c r="G6">
        <v>25920</v>
      </c>
      <c r="H6">
        <v>-175</v>
      </c>
      <c r="I6" t="s">
        <v>638</v>
      </c>
      <c r="J6" t="s">
        <v>651</v>
      </c>
      <c r="L6" s="24" t="s">
        <v>646</v>
      </c>
      <c r="M6">
        <v>2232</v>
      </c>
      <c r="N6">
        <v>3362</v>
      </c>
      <c r="O6">
        <v>3259</v>
      </c>
      <c r="P6">
        <v>1569</v>
      </c>
      <c r="Q6">
        <v>10422</v>
      </c>
    </row>
    <row r="7" spans="1:17">
      <c r="A7" s="73">
        <v>45754</v>
      </c>
      <c r="B7" t="s">
        <v>40</v>
      </c>
      <c r="C7">
        <v>1307</v>
      </c>
      <c r="D7">
        <v>278</v>
      </c>
      <c r="E7">
        <v>98596</v>
      </c>
      <c r="F7">
        <v>2.4900000000000002</v>
      </c>
      <c r="G7">
        <v>47603</v>
      </c>
      <c r="H7">
        <v>1029</v>
      </c>
      <c r="I7" t="s">
        <v>638</v>
      </c>
      <c r="J7" t="s">
        <v>407</v>
      </c>
      <c r="L7" s="24" t="s">
        <v>645</v>
      </c>
      <c r="M7">
        <v>2373</v>
      </c>
      <c r="N7">
        <v>4887</v>
      </c>
      <c r="O7">
        <v>3861</v>
      </c>
      <c r="P7">
        <v>4113</v>
      </c>
      <c r="Q7">
        <v>15234</v>
      </c>
    </row>
    <row r="8" spans="1:17">
      <c r="A8" s="73">
        <v>45747</v>
      </c>
      <c r="B8" t="s">
        <v>40</v>
      </c>
      <c r="C8">
        <v>988</v>
      </c>
      <c r="D8">
        <v>474</v>
      </c>
      <c r="E8">
        <v>370070</v>
      </c>
      <c r="F8">
        <v>9.4600000000000009</v>
      </c>
      <c r="G8">
        <v>23461</v>
      </c>
      <c r="H8">
        <v>514</v>
      </c>
      <c r="I8" t="s">
        <v>639</v>
      </c>
      <c r="J8" t="s">
        <v>652</v>
      </c>
      <c r="L8" s="24" t="s">
        <v>644</v>
      </c>
      <c r="M8">
        <v>2772</v>
      </c>
      <c r="N8">
        <v>3934</v>
      </c>
      <c r="O8">
        <v>760</v>
      </c>
      <c r="P8">
        <v>3626</v>
      </c>
      <c r="Q8">
        <v>11092</v>
      </c>
    </row>
    <row r="9" spans="1:17">
      <c r="A9" s="73">
        <v>45740</v>
      </c>
      <c r="B9" t="s">
        <v>40</v>
      </c>
      <c r="C9">
        <v>609</v>
      </c>
      <c r="D9">
        <v>135</v>
      </c>
      <c r="E9">
        <v>373606</v>
      </c>
      <c r="F9">
        <v>8.52</v>
      </c>
      <c r="G9">
        <v>21453</v>
      </c>
      <c r="H9">
        <v>474</v>
      </c>
      <c r="I9" t="s">
        <v>639</v>
      </c>
      <c r="J9" t="s">
        <v>229</v>
      </c>
      <c r="L9" s="24" t="s">
        <v>643</v>
      </c>
      <c r="M9">
        <v>1838</v>
      </c>
      <c r="N9">
        <v>3943</v>
      </c>
      <c r="O9">
        <v>3296</v>
      </c>
      <c r="P9">
        <v>2338</v>
      </c>
      <c r="Q9">
        <v>11415</v>
      </c>
    </row>
    <row r="10" spans="1:17">
      <c r="A10" s="73">
        <v>45733</v>
      </c>
      <c r="B10" t="s">
        <v>40</v>
      </c>
      <c r="C10">
        <v>1358</v>
      </c>
      <c r="D10">
        <v>242</v>
      </c>
      <c r="E10">
        <v>342129</v>
      </c>
      <c r="F10">
        <v>4.9400000000000004</v>
      </c>
      <c r="G10">
        <v>29116</v>
      </c>
      <c r="H10">
        <v>1116</v>
      </c>
      <c r="I10" t="s">
        <v>639</v>
      </c>
      <c r="J10" t="s">
        <v>653</v>
      </c>
      <c r="L10" s="24" t="s">
        <v>642</v>
      </c>
      <c r="M10">
        <v>6962</v>
      </c>
      <c r="N10">
        <v>6625</v>
      </c>
      <c r="O10">
        <v>6699</v>
      </c>
      <c r="P10">
        <v>4789</v>
      </c>
      <c r="Q10">
        <v>25075</v>
      </c>
    </row>
    <row r="11" spans="1:17">
      <c r="A11" s="73">
        <v>45726</v>
      </c>
      <c r="B11" t="s">
        <v>40</v>
      </c>
      <c r="C11">
        <v>1098</v>
      </c>
      <c r="D11">
        <v>190</v>
      </c>
      <c r="E11">
        <v>340842</v>
      </c>
      <c r="F11">
        <v>9.39</v>
      </c>
      <c r="G11">
        <v>21539</v>
      </c>
      <c r="H11">
        <v>908</v>
      </c>
      <c r="I11" t="s">
        <v>639</v>
      </c>
      <c r="J11" t="s">
        <v>654</v>
      </c>
      <c r="L11" s="24" t="s">
        <v>641</v>
      </c>
      <c r="M11">
        <v>2243</v>
      </c>
      <c r="N11">
        <v>4031</v>
      </c>
      <c r="O11">
        <v>3361</v>
      </c>
      <c r="P11">
        <v>3696</v>
      </c>
      <c r="Q11">
        <v>13331</v>
      </c>
    </row>
    <row r="12" spans="1:17">
      <c r="A12" s="73">
        <v>45719</v>
      </c>
      <c r="B12" t="s">
        <v>40</v>
      </c>
      <c r="C12">
        <v>345</v>
      </c>
      <c r="D12">
        <v>464</v>
      </c>
      <c r="E12">
        <v>366881</v>
      </c>
      <c r="F12">
        <v>4.55</v>
      </c>
      <c r="G12">
        <v>20553</v>
      </c>
      <c r="H12">
        <v>-119</v>
      </c>
      <c r="I12" t="s">
        <v>639</v>
      </c>
      <c r="J12" t="s">
        <v>193</v>
      </c>
      <c r="L12" s="24" t="s">
        <v>640</v>
      </c>
      <c r="M12">
        <v>4957</v>
      </c>
      <c r="N12">
        <v>5143</v>
      </c>
      <c r="O12">
        <v>2442</v>
      </c>
      <c r="P12">
        <v>3432</v>
      </c>
      <c r="Q12">
        <v>15974</v>
      </c>
    </row>
    <row r="13" spans="1:17">
      <c r="A13" s="73">
        <v>45712</v>
      </c>
      <c r="B13" t="s">
        <v>40</v>
      </c>
      <c r="C13">
        <v>1884</v>
      </c>
      <c r="D13">
        <v>177</v>
      </c>
      <c r="E13">
        <v>230448</v>
      </c>
      <c r="F13">
        <v>7.8</v>
      </c>
      <c r="G13">
        <v>22713</v>
      </c>
      <c r="H13">
        <v>1707</v>
      </c>
      <c r="I13" t="s">
        <v>640</v>
      </c>
      <c r="J13" t="s">
        <v>143</v>
      </c>
      <c r="L13" s="24" t="s">
        <v>639</v>
      </c>
      <c r="M13">
        <v>2893</v>
      </c>
      <c r="N13">
        <v>3309</v>
      </c>
      <c r="O13">
        <v>5078</v>
      </c>
      <c r="P13">
        <v>4798</v>
      </c>
      <c r="Q13">
        <v>16078</v>
      </c>
    </row>
    <row r="14" spans="1:17">
      <c r="A14" s="73">
        <v>45705</v>
      </c>
      <c r="B14" t="s">
        <v>40</v>
      </c>
      <c r="C14">
        <v>1895</v>
      </c>
      <c r="D14">
        <v>305</v>
      </c>
      <c r="E14">
        <v>104967</v>
      </c>
      <c r="F14">
        <v>3.85</v>
      </c>
      <c r="G14">
        <v>31853</v>
      </c>
      <c r="H14">
        <v>1590</v>
      </c>
      <c r="I14" t="s">
        <v>640</v>
      </c>
      <c r="J14" t="s">
        <v>124</v>
      </c>
      <c r="L14" s="24" t="s">
        <v>638</v>
      </c>
      <c r="M14">
        <v>2352</v>
      </c>
      <c r="N14">
        <v>2149</v>
      </c>
      <c r="O14">
        <v>2767</v>
      </c>
      <c r="P14">
        <v>2624</v>
      </c>
      <c r="Q14">
        <v>9892</v>
      </c>
    </row>
    <row r="15" spans="1:17">
      <c r="A15" s="73">
        <v>45698</v>
      </c>
      <c r="B15" t="s">
        <v>40</v>
      </c>
      <c r="C15">
        <v>1294</v>
      </c>
      <c r="D15">
        <v>382</v>
      </c>
      <c r="E15">
        <v>309914</v>
      </c>
      <c r="F15">
        <v>8.0299999999999994</v>
      </c>
      <c r="G15">
        <v>23489</v>
      </c>
      <c r="H15">
        <v>912</v>
      </c>
      <c r="I15" t="s">
        <v>640</v>
      </c>
      <c r="J15" t="s">
        <v>244</v>
      </c>
      <c r="L15" s="24" t="s">
        <v>637</v>
      </c>
      <c r="M15">
        <v>746</v>
      </c>
      <c r="N15">
        <v>3537</v>
      </c>
      <c r="O15">
        <v>1779</v>
      </c>
      <c r="P15">
        <v>527</v>
      </c>
      <c r="Q15">
        <v>6589</v>
      </c>
    </row>
    <row r="16" spans="1:17">
      <c r="A16" s="73">
        <v>45691</v>
      </c>
      <c r="B16" t="s">
        <v>40</v>
      </c>
      <c r="C16">
        <v>1159</v>
      </c>
      <c r="D16">
        <v>411</v>
      </c>
      <c r="E16">
        <v>135987</v>
      </c>
      <c r="F16">
        <v>8.6999999999999993</v>
      </c>
      <c r="G16">
        <v>40323</v>
      </c>
      <c r="H16">
        <v>748</v>
      </c>
      <c r="I16" t="s">
        <v>640</v>
      </c>
      <c r="J16" t="s">
        <v>655</v>
      </c>
      <c r="L16" s="24" t="s">
        <v>581</v>
      </c>
      <c r="M16">
        <v>35557</v>
      </c>
      <c r="N16">
        <v>48004</v>
      </c>
      <c r="O16">
        <v>41177</v>
      </c>
      <c r="P16">
        <v>35367</v>
      </c>
      <c r="Q16">
        <v>160105</v>
      </c>
    </row>
    <row r="17" spans="1:10">
      <c r="A17" s="73">
        <v>45684</v>
      </c>
      <c r="B17" t="s">
        <v>40</v>
      </c>
      <c r="C17">
        <v>1249</v>
      </c>
      <c r="D17">
        <v>351</v>
      </c>
      <c r="E17">
        <v>321307</v>
      </c>
      <c r="F17">
        <v>6.37</v>
      </c>
      <c r="G17">
        <v>20560</v>
      </c>
      <c r="H17">
        <v>898</v>
      </c>
      <c r="I17" t="s">
        <v>641</v>
      </c>
      <c r="J17" t="s">
        <v>219</v>
      </c>
    </row>
    <row r="18" spans="1:10">
      <c r="A18" s="73">
        <v>45677</v>
      </c>
      <c r="B18" t="s">
        <v>40</v>
      </c>
      <c r="C18">
        <v>663</v>
      </c>
      <c r="D18">
        <v>236</v>
      </c>
      <c r="E18">
        <v>479490</v>
      </c>
      <c r="F18">
        <v>4.51</v>
      </c>
      <c r="G18">
        <v>23853</v>
      </c>
      <c r="H18">
        <v>427</v>
      </c>
      <c r="I18" t="s">
        <v>641</v>
      </c>
      <c r="J18" t="s">
        <v>656</v>
      </c>
    </row>
    <row r="19" spans="1:10">
      <c r="A19" s="73">
        <v>45670</v>
      </c>
      <c r="B19" t="s">
        <v>40</v>
      </c>
      <c r="C19">
        <v>651</v>
      </c>
      <c r="D19">
        <v>353</v>
      </c>
      <c r="E19">
        <v>224699</v>
      </c>
      <c r="F19">
        <v>5.61</v>
      </c>
      <c r="G19">
        <v>45708</v>
      </c>
      <c r="H19">
        <v>298</v>
      </c>
      <c r="I19" t="s">
        <v>641</v>
      </c>
      <c r="J19" t="s">
        <v>657</v>
      </c>
    </row>
    <row r="20" spans="1:10">
      <c r="A20" s="73">
        <v>45663</v>
      </c>
      <c r="B20" t="s">
        <v>40</v>
      </c>
      <c r="C20">
        <v>816</v>
      </c>
      <c r="D20">
        <v>196</v>
      </c>
      <c r="E20">
        <v>95728</v>
      </c>
      <c r="F20">
        <v>8.1999999999999993</v>
      </c>
      <c r="G20">
        <v>17951</v>
      </c>
      <c r="H20">
        <v>620</v>
      </c>
      <c r="I20" t="s">
        <v>641</v>
      </c>
      <c r="J20" t="s">
        <v>122</v>
      </c>
    </row>
    <row r="21" spans="1:10">
      <c r="A21" s="73">
        <v>45656</v>
      </c>
      <c r="B21" t="s">
        <v>40</v>
      </c>
      <c r="C21">
        <v>1980</v>
      </c>
      <c r="D21">
        <v>204</v>
      </c>
      <c r="E21">
        <v>379431</v>
      </c>
      <c r="F21">
        <v>3.09</v>
      </c>
      <c r="G21">
        <v>25140</v>
      </c>
      <c r="H21">
        <v>1776</v>
      </c>
      <c r="I21" t="s">
        <v>642</v>
      </c>
      <c r="J21" t="s">
        <v>658</v>
      </c>
    </row>
    <row r="22" spans="1:10">
      <c r="A22" s="73">
        <v>45649</v>
      </c>
      <c r="B22" t="s">
        <v>40</v>
      </c>
      <c r="C22">
        <v>1155</v>
      </c>
      <c r="D22">
        <v>425</v>
      </c>
      <c r="E22">
        <v>93347</v>
      </c>
      <c r="F22">
        <v>2.02</v>
      </c>
      <c r="G22">
        <v>47502</v>
      </c>
      <c r="H22">
        <v>730</v>
      </c>
      <c r="I22" t="s">
        <v>642</v>
      </c>
      <c r="J22" t="s">
        <v>15</v>
      </c>
    </row>
    <row r="23" spans="1:10">
      <c r="A23" s="73">
        <v>45642</v>
      </c>
      <c r="B23" t="s">
        <v>40</v>
      </c>
      <c r="C23">
        <v>1623</v>
      </c>
      <c r="D23">
        <v>246</v>
      </c>
      <c r="E23">
        <v>415815</v>
      </c>
      <c r="F23">
        <v>8.11</v>
      </c>
      <c r="G23">
        <v>18656</v>
      </c>
      <c r="H23">
        <v>1377</v>
      </c>
      <c r="I23" t="s">
        <v>642</v>
      </c>
      <c r="J23" t="s">
        <v>109</v>
      </c>
    </row>
    <row r="24" spans="1:10">
      <c r="A24" s="73">
        <v>45635</v>
      </c>
      <c r="B24" t="s">
        <v>40</v>
      </c>
      <c r="C24">
        <v>1514</v>
      </c>
      <c r="D24">
        <v>141</v>
      </c>
      <c r="E24">
        <v>35842</v>
      </c>
      <c r="F24">
        <v>7.47</v>
      </c>
      <c r="G24">
        <v>18601</v>
      </c>
      <c r="H24">
        <v>1373</v>
      </c>
      <c r="I24" t="s">
        <v>642</v>
      </c>
      <c r="J24" t="s">
        <v>216</v>
      </c>
    </row>
    <row r="25" spans="1:10">
      <c r="A25" s="73">
        <v>45628</v>
      </c>
      <c r="B25" t="s">
        <v>40</v>
      </c>
      <c r="C25">
        <v>1902</v>
      </c>
      <c r="D25">
        <v>196</v>
      </c>
      <c r="E25">
        <v>470269</v>
      </c>
      <c r="F25">
        <v>4.79</v>
      </c>
      <c r="G25">
        <v>26103</v>
      </c>
      <c r="H25">
        <v>1706</v>
      </c>
      <c r="I25" t="s">
        <v>642</v>
      </c>
      <c r="J25" t="s">
        <v>659</v>
      </c>
    </row>
    <row r="26" spans="1:10">
      <c r="A26" s="73">
        <v>45621</v>
      </c>
      <c r="B26" t="s">
        <v>40</v>
      </c>
      <c r="C26">
        <v>1710</v>
      </c>
      <c r="D26">
        <v>378</v>
      </c>
      <c r="E26">
        <v>336661</v>
      </c>
      <c r="F26">
        <v>6.2</v>
      </c>
      <c r="G26">
        <v>28498</v>
      </c>
      <c r="H26">
        <v>1332</v>
      </c>
      <c r="I26" t="s">
        <v>643</v>
      </c>
      <c r="J26" t="s">
        <v>126</v>
      </c>
    </row>
    <row r="27" spans="1:10">
      <c r="A27" s="73">
        <v>45614</v>
      </c>
      <c r="B27" t="s">
        <v>40</v>
      </c>
      <c r="C27">
        <v>513</v>
      </c>
      <c r="D27">
        <v>441</v>
      </c>
      <c r="E27">
        <v>338847</v>
      </c>
      <c r="F27">
        <v>2.68</v>
      </c>
      <c r="G27">
        <v>39997</v>
      </c>
      <c r="H27">
        <v>72</v>
      </c>
      <c r="I27" t="s">
        <v>643</v>
      </c>
      <c r="J27" t="s">
        <v>63</v>
      </c>
    </row>
    <row r="28" spans="1:10">
      <c r="A28" s="73">
        <v>45607</v>
      </c>
      <c r="B28" t="s">
        <v>40</v>
      </c>
      <c r="C28">
        <v>171</v>
      </c>
      <c r="D28">
        <v>277</v>
      </c>
      <c r="E28">
        <v>309483</v>
      </c>
      <c r="F28">
        <v>8.6999999999999993</v>
      </c>
      <c r="G28">
        <v>38452</v>
      </c>
      <c r="H28">
        <v>-106</v>
      </c>
      <c r="I28" t="s">
        <v>643</v>
      </c>
      <c r="J28" t="s">
        <v>660</v>
      </c>
    </row>
    <row r="29" spans="1:10">
      <c r="A29" s="73">
        <v>45600</v>
      </c>
      <c r="B29" t="s">
        <v>40</v>
      </c>
      <c r="C29">
        <v>947</v>
      </c>
      <c r="D29">
        <v>407</v>
      </c>
      <c r="E29">
        <v>319186</v>
      </c>
      <c r="F29">
        <v>3.32</v>
      </c>
      <c r="G29">
        <v>4996</v>
      </c>
      <c r="H29">
        <v>540</v>
      </c>
      <c r="I29" t="s">
        <v>643</v>
      </c>
      <c r="J29" t="s">
        <v>278</v>
      </c>
    </row>
    <row r="30" spans="1:10">
      <c r="A30" s="73">
        <v>45593</v>
      </c>
      <c r="B30" t="s">
        <v>40</v>
      </c>
      <c r="C30">
        <v>859</v>
      </c>
      <c r="D30">
        <v>473</v>
      </c>
      <c r="E30">
        <v>209987</v>
      </c>
      <c r="F30">
        <v>4.46</v>
      </c>
      <c r="G30">
        <v>30214</v>
      </c>
      <c r="H30">
        <v>386</v>
      </c>
      <c r="I30" t="s">
        <v>644</v>
      </c>
      <c r="J30" t="s">
        <v>197</v>
      </c>
    </row>
    <row r="31" spans="1:10">
      <c r="A31" s="73">
        <v>45586</v>
      </c>
      <c r="B31" t="s">
        <v>40</v>
      </c>
      <c r="C31">
        <v>508</v>
      </c>
      <c r="D31">
        <v>69</v>
      </c>
      <c r="E31">
        <v>23492</v>
      </c>
      <c r="F31">
        <v>3.16</v>
      </c>
      <c r="G31">
        <v>42824</v>
      </c>
      <c r="H31">
        <v>439</v>
      </c>
      <c r="I31" t="s">
        <v>644</v>
      </c>
      <c r="J31" t="s">
        <v>164</v>
      </c>
    </row>
    <row r="32" spans="1:10">
      <c r="A32" s="73">
        <v>45579</v>
      </c>
      <c r="B32" t="s">
        <v>40</v>
      </c>
      <c r="C32">
        <v>643</v>
      </c>
      <c r="D32">
        <v>358</v>
      </c>
      <c r="E32">
        <v>157599</v>
      </c>
      <c r="F32">
        <v>3.88</v>
      </c>
      <c r="G32">
        <v>7285</v>
      </c>
      <c r="H32">
        <v>285</v>
      </c>
      <c r="I32" t="s">
        <v>644</v>
      </c>
      <c r="J32" t="s">
        <v>661</v>
      </c>
    </row>
    <row r="33" spans="1:10">
      <c r="A33" s="73">
        <v>45572</v>
      </c>
      <c r="B33" t="s">
        <v>40</v>
      </c>
      <c r="C33">
        <v>1929</v>
      </c>
      <c r="D33">
        <v>267</v>
      </c>
      <c r="E33">
        <v>379363</v>
      </c>
      <c r="F33">
        <v>1.75</v>
      </c>
      <c r="G33">
        <v>43836</v>
      </c>
      <c r="H33">
        <v>1662</v>
      </c>
      <c r="I33" t="s">
        <v>644</v>
      </c>
      <c r="J33" t="s">
        <v>662</v>
      </c>
    </row>
    <row r="34" spans="1:10">
      <c r="A34" s="73">
        <v>45565</v>
      </c>
      <c r="B34" t="s">
        <v>40</v>
      </c>
      <c r="C34">
        <v>250</v>
      </c>
      <c r="D34">
        <v>429</v>
      </c>
      <c r="E34">
        <v>453423</v>
      </c>
      <c r="F34">
        <v>1.77</v>
      </c>
      <c r="G34">
        <v>2315</v>
      </c>
      <c r="H34">
        <v>-179</v>
      </c>
      <c r="I34" t="s">
        <v>645</v>
      </c>
      <c r="J34" t="s">
        <v>663</v>
      </c>
    </row>
    <row r="35" spans="1:10">
      <c r="A35" s="73">
        <v>45558</v>
      </c>
      <c r="B35" t="s">
        <v>40</v>
      </c>
      <c r="C35">
        <v>198</v>
      </c>
      <c r="D35">
        <v>217</v>
      </c>
      <c r="E35">
        <v>239753</v>
      </c>
      <c r="F35">
        <v>7.36</v>
      </c>
      <c r="G35">
        <v>11901</v>
      </c>
      <c r="H35">
        <v>-19</v>
      </c>
      <c r="I35" t="s">
        <v>645</v>
      </c>
      <c r="J35" t="s">
        <v>664</v>
      </c>
    </row>
    <row r="36" spans="1:10">
      <c r="A36" s="73">
        <v>45551</v>
      </c>
      <c r="B36" t="s">
        <v>40</v>
      </c>
      <c r="C36">
        <v>443</v>
      </c>
      <c r="D36">
        <v>345</v>
      </c>
      <c r="E36">
        <v>474162</v>
      </c>
      <c r="F36">
        <v>9.1999999999999993</v>
      </c>
      <c r="G36">
        <v>47462</v>
      </c>
      <c r="H36">
        <v>98</v>
      </c>
      <c r="I36" t="s">
        <v>645</v>
      </c>
      <c r="J36" t="s">
        <v>665</v>
      </c>
    </row>
    <row r="37" spans="1:10">
      <c r="A37" s="73">
        <v>45544</v>
      </c>
      <c r="B37" t="s">
        <v>40</v>
      </c>
      <c r="C37">
        <v>1842</v>
      </c>
      <c r="D37">
        <v>414</v>
      </c>
      <c r="E37">
        <v>307524</v>
      </c>
      <c r="F37">
        <v>1.76</v>
      </c>
      <c r="G37">
        <v>40478</v>
      </c>
      <c r="H37">
        <v>1428</v>
      </c>
      <c r="I37" t="s">
        <v>645</v>
      </c>
      <c r="J37" t="s">
        <v>84</v>
      </c>
    </row>
    <row r="38" spans="1:10">
      <c r="A38" s="73">
        <v>45537</v>
      </c>
      <c r="B38" t="s">
        <v>40</v>
      </c>
      <c r="C38">
        <v>1520</v>
      </c>
      <c r="D38">
        <v>475</v>
      </c>
      <c r="E38">
        <v>496982</v>
      </c>
      <c r="F38">
        <v>6.41</v>
      </c>
      <c r="G38">
        <v>24384</v>
      </c>
      <c r="H38">
        <v>1045</v>
      </c>
      <c r="I38" t="s">
        <v>645</v>
      </c>
      <c r="J38" t="s">
        <v>191</v>
      </c>
    </row>
    <row r="39" spans="1:10">
      <c r="A39" s="73">
        <v>45530</v>
      </c>
      <c r="B39" t="s">
        <v>40</v>
      </c>
      <c r="C39">
        <v>248</v>
      </c>
      <c r="D39">
        <v>211</v>
      </c>
      <c r="E39">
        <v>379380</v>
      </c>
      <c r="F39">
        <v>9.0399999999999991</v>
      </c>
      <c r="G39">
        <v>26925</v>
      </c>
      <c r="H39">
        <v>37</v>
      </c>
      <c r="I39" t="s">
        <v>646</v>
      </c>
      <c r="J39" t="s">
        <v>73</v>
      </c>
    </row>
    <row r="40" spans="1:10">
      <c r="A40" s="73">
        <v>45523</v>
      </c>
      <c r="B40" t="s">
        <v>40</v>
      </c>
      <c r="C40">
        <v>1078</v>
      </c>
      <c r="D40">
        <v>20</v>
      </c>
      <c r="E40">
        <v>183924</v>
      </c>
      <c r="F40">
        <v>8.84</v>
      </c>
      <c r="G40">
        <v>14203</v>
      </c>
      <c r="H40">
        <v>1058</v>
      </c>
      <c r="I40" t="s">
        <v>646</v>
      </c>
      <c r="J40" t="s">
        <v>79</v>
      </c>
    </row>
    <row r="41" spans="1:10">
      <c r="A41" s="73">
        <v>45516</v>
      </c>
      <c r="B41" t="s">
        <v>40</v>
      </c>
      <c r="C41">
        <v>1534</v>
      </c>
      <c r="D41">
        <v>200</v>
      </c>
      <c r="E41">
        <v>307612</v>
      </c>
      <c r="F41">
        <v>6.01</v>
      </c>
      <c r="G41">
        <v>37903</v>
      </c>
      <c r="H41">
        <v>1334</v>
      </c>
      <c r="I41" t="s">
        <v>646</v>
      </c>
      <c r="J41" t="s">
        <v>32</v>
      </c>
    </row>
    <row r="42" spans="1:10">
      <c r="A42" s="73">
        <v>45509</v>
      </c>
      <c r="B42" t="s">
        <v>40</v>
      </c>
      <c r="C42">
        <v>214</v>
      </c>
      <c r="D42">
        <v>411</v>
      </c>
      <c r="E42">
        <v>125034</v>
      </c>
      <c r="F42">
        <v>6.11</v>
      </c>
      <c r="G42">
        <v>26455</v>
      </c>
      <c r="H42">
        <v>-197</v>
      </c>
      <c r="I42" t="s">
        <v>646</v>
      </c>
      <c r="J42" t="s">
        <v>491</v>
      </c>
    </row>
    <row r="43" spans="1:10">
      <c r="A43" s="73">
        <v>45502</v>
      </c>
      <c r="B43" t="s">
        <v>40</v>
      </c>
      <c r="C43">
        <v>160</v>
      </c>
      <c r="D43">
        <v>478</v>
      </c>
      <c r="E43">
        <v>435034</v>
      </c>
      <c r="F43">
        <v>7.73</v>
      </c>
      <c r="G43">
        <v>4839</v>
      </c>
      <c r="H43">
        <v>-318</v>
      </c>
      <c r="I43" t="s">
        <v>647</v>
      </c>
      <c r="J43" t="s">
        <v>263</v>
      </c>
    </row>
    <row r="44" spans="1:10">
      <c r="A44" s="73">
        <v>45495</v>
      </c>
      <c r="B44" t="s">
        <v>40</v>
      </c>
      <c r="C44">
        <v>1391</v>
      </c>
      <c r="D44">
        <v>430</v>
      </c>
      <c r="E44">
        <v>295032</v>
      </c>
      <c r="F44">
        <v>7.86</v>
      </c>
      <c r="G44">
        <v>26067</v>
      </c>
      <c r="H44">
        <v>961</v>
      </c>
      <c r="I44" t="s">
        <v>647</v>
      </c>
      <c r="J44" t="s">
        <v>666</v>
      </c>
    </row>
    <row r="45" spans="1:10">
      <c r="A45" s="73">
        <v>45488</v>
      </c>
      <c r="B45" t="s">
        <v>40</v>
      </c>
      <c r="C45">
        <v>170</v>
      </c>
      <c r="D45">
        <v>334</v>
      </c>
      <c r="E45">
        <v>334626</v>
      </c>
      <c r="F45">
        <v>6.44</v>
      </c>
      <c r="G45">
        <v>43420</v>
      </c>
      <c r="H45">
        <v>-164</v>
      </c>
      <c r="I45" t="s">
        <v>647</v>
      </c>
      <c r="J45" t="s">
        <v>312</v>
      </c>
    </row>
    <row r="46" spans="1:10">
      <c r="A46" s="73">
        <v>45481</v>
      </c>
      <c r="B46" t="s">
        <v>40</v>
      </c>
      <c r="C46">
        <v>350</v>
      </c>
      <c r="D46">
        <v>41</v>
      </c>
      <c r="E46">
        <v>251694</v>
      </c>
      <c r="F46">
        <v>1.91</v>
      </c>
      <c r="G46">
        <v>38610</v>
      </c>
      <c r="H46">
        <v>309</v>
      </c>
      <c r="I46" t="s">
        <v>647</v>
      </c>
      <c r="J46" t="s">
        <v>667</v>
      </c>
    </row>
    <row r="47" spans="1:10">
      <c r="A47" s="73">
        <v>45474</v>
      </c>
      <c r="B47" t="s">
        <v>40</v>
      </c>
      <c r="C47">
        <v>505</v>
      </c>
      <c r="D47">
        <v>441</v>
      </c>
      <c r="E47">
        <v>220020</v>
      </c>
      <c r="F47">
        <v>4.4800000000000004</v>
      </c>
      <c r="G47">
        <v>42307</v>
      </c>
      <c r="H47">
        <v>64</v>
      </c>
      <c r="I47" t="s">
        <v>647</v>
      </c>
      <c r="J47" t="s">
        <v>448</v>
      </c>
    </row>
    <row r="48" spans="1:10">
      <c r="A48" s="73">
        <v>45467</v>
      </c>
      <c r="B48" t="s">
        <v>40</v>
      </c>
      <c r="C48">
        <v>1779</v>
      </c>
      <c r="D48">
        <v>109</v>
      </c>
      <c r="E48">
        <v>26295</v>
      </c>
      <c r="F48">
        <v>9.1199999999999992</v>
      </c>
      <c r="G48">
        <v>30635</v>
      </c>
      <c r="H48">
        <v>1670</v>
      </c>
      <c r="I48" t="s">
        <v>648</v>
      </c>
      <c r="J48" t="s">
        <v>46</v>
      </c>
    </row>
    <row r="49" spans="1:10">
      <c r="A49" s="73">
        <v>45460</v>
      </c>
      <c r="B49" t="s">
        <v>40</v>
      </c>
      <c r="C49">
        <v>1753</v>
      </c>
      <c r="D49">
        <v>371</v>
      </c>
      <c r="E49">
        <v>169496</v>
      </c>
      <c r="F49">
        <v>8.11</v>
      </c>
      <c r="G49">
        <v>46670</v>
      </c>
      <c r="H49">
        <v>1382</v>
      </c>
      <c r="I49" t="s">
        <v>648</v>
      </c>
      <c r="J49" t="s">
        <v>159</v>
      </c>
    </row>
    <row r="50" spans="1:10">
      <c r="A50" s="73">
        <v>45453</v>
      </c>
      <c r="B50" t="s">
        <v>40</v>
      </c>
      <c r="C50">
        <v>1697</v>
      </c>
      <c r="D50">
        <v>414</v>
      </c>
      <c r="E50">
        <v>316555</v>
      </c>
      <c r="F50">
        <v>2.37</v>
      </c>
      <c r="G50">
        <v>7924</v>
      </c>
      <c r="H50">
        <v>1283</v>
      </c>
      <c r="I50" t="s">
        <v>648</v>
      </c>
      <c r="J50" t="s">
        <v>148</v>
      </c>
    </row>
    <row r="51" spans="1:10">
      <c r="A51" s="73">
        <v>45446</v>
      </c>
      <c r="B51" t="s">
        <v>40</v>
      </c>
      <c r="C51">
        <v>1312</v>
      </c>
      <c r="D51">
        <v>310</v>
      </c>
      <c r="E51">
        <v>42654</v>
      </c>
      <c r="F51">
        <v>4.9800000000000004</v>
      </c>
      <c r="G51">
        <v>9566</v>
      </c>
      <c r="H51">
        <v>1002</v>
      </c>
      <c r="I51" t="s">
        <v>648</v>
      </c>
      <c r="J51" t="s">
        <v>227</v>
      </c>
    </row>
    <row r="52" spans="1:10">
      <c r="A52" s="73">
        <v>45789</v>
      </c>
      <c r="B52" t="s">
        <v>31</v>
      </c>
      <c r="C52">
        <v>1765</v>
      </c>
      <c r="D52">
        <v>109</v>
      </c>
      <c r="E52">
        <v>468301</v>
      </c>
      <c r="F52">
        <v>1.82</v>
      </c>
      <c r="G52">
        <v>20042</v>
      </c>
      <c r="H52">
        <v>1656</v>
      </c>
      <c r="I52" t="s">
        <v>637</v>
      </c>
      <c r="J52" t="s">
        <v>28</v>
      </c>
    </row>
    <row r="53" spans="1:10">
      <c r="A53" s="73">
        <v>45782</v>
      </c>
      <c r="B53" t="s">
        <v>31</v>
      </c>
      <c r="C53">
        <v>1957</v>
      </c>
      <c r="D53">
        <v>76</v>
      </c>
      <c r="E53">
        <v>447902</v>
      </c>
      <c r="F53">
        <v>6.09</v>
      </c>
      <c r="G53">
        <v>33381</v>
      </c>
      <c r="H53">
        <v>1881</v>
      </c>
      <c r="I53" t="s">
        <v>637</v>
      </c>
      <c r="J53" t="s">
        <v>76</v>
      </c>
    </row>
    <row r="54" spans="1:10">
      <c r="A54" s="73">
        <v>45775</v>
      </c>
      <c r="B54" t="s">
        <v>31</v>
      </c>
      <c r="C54">
        <v>1693</v>
      </c>
      <c r="D54">
        <v>154</v>
      </c>
      <c r="E54">
        <v>445944</v>
      </c>
      <c r="F54">
        <v>5.69</v>
      </c>
      <c r="G54">
        <v>14216</v>
      </c>
      <c r="H54">
        <v>1539</v>
      </c>
      <c r="I54" t="s">
        <v>638</v>
      </c>
      <c r="J54" t="s">
        <v>359</v>
      </c>
    </row>
    <row r="55" spans="1:10">
      <c r="A55" s="73">
        <v>45768</v>
      </c>
      <c r="B55" t="s">
        <v>31</v>
      </c>
      <c r="C55">
        <v>961</v>
      </c>
      <c r="D55">
        <v>358</v>
      </c>
      <c r="E55">
        <v>62942</v>
      </c>
      <c r="F55">
        <v>6.8</v>
      </c>
      <c r="G55">
        <v>18693</v>
      </c>
      <c r="H55">
        <v>603</v>
      </c>
      <c r="I55" t="s">
        <v>638</v>
      </c>
      <c r="J55" t="s">
        <v>650</v>
      </c>
    </row>
    <row r="56" spans="1:10">
      <c r="A56" s="73">
        <v>45761</v>
      </c>
      <c r="B56" t="s">
        <v>31</v>
      </c>
      <c r="C56">
        <v>198</v>
      </c>
      <c r="D56">
        <v>358</v>
      </c>
      <c r="E56">
        <v>66682</v>
      </c>
      <c r="F56">
        <v>6.73</v>
      </c>
      <c r="G56">
        <v>2293</v>
      </c>
      <c r="H56">
        <v>-160</v>
      </c>
      <c r="I56" t="s">
        <v>638</v>
      </c>
      <c r="J56" t="s">
        <v>651</v>
      </c>
    </row>
    <row r="57" spans="1:10">
      <c r="A57" s="73">
        <v>45754</v>
      </c>
      <c r="B57" t="s">
        <v>31</v>
      </c>
      <c r="C57">
        <v>559</v>
      </c>
      <c r="D57">
        <v>392</v>
      </c>
      <c r="E57">
        <v>78789</v>
      </c>
      <c r="F57">
        <v>3.19</v>
      </c>
      <c r="G57">
        <v>2436</v>
      </c>
      <c r="H57">
        <v>167</v>
      </c>
      <c r="I57" t="s">
        <v>638</v>
      </c>
      <c r="J57" t="s">
        <v>407</v>
      </c>
    </row>
    <row r="58" spans="1:10">
      <c r="A58" s="73">
        <v>45747</v>
      </c>
      <c r="B58" t="s">
        <v>31</v>
      </c>
      <c r="C58">
        <v>1033</v>
      </c>
      <c r="D58">
        <v>392</v>
      </c>
      <c r="E58">
        <v>282780</v>
      </c>
      <c r="F58">
        <v>6.27</v>
      </c>
      <c r="G58">
        <v>23140</v>
      </c>
      <c r="H58">
        <v>641</v>
      </c>
      <c r="I58" t="s">
        <v>639</v>
      </c>
      <c r="J58" t="s">
        <v>652</v>
      </c>
    </row>
    <row r="59" spans="1:10">
      <c r="A59" s="73">
        <v>45740</v>
      </c>
      <c r="B59" t="s">
        <v>31</v>
      </c>
      <c r="C59">
        <v>490</v>
      </c>
      <c r="D59">
        <v>29</v>
      </c>
      <c r="E59">
        <v>364810</v>
      </c>
      <c r="F59">
        <v>1.53</v>
      </c>
      <c r="G59">
        <v>49077</v>
      </c>
      <c r="H59">
        <v>461</v>
      </c>
      <c r="I59" t="s">
        <v>639</v>
      </c>
      <c r="J59" t="s">
        <v>229</v>
      </c>
    </row>
    <row r="60" spans="1:10">
      <c r="A60" s="73">
        <v>45733</v>
      </c>
      <c r="B60" t="s">
        <v>31</v>
      </c>
      <c r="C60">
        <v>1102</v>
      </c>
      <c r="D60">
        <v>422</v>
      </c>
      <c r="E60">
        <v>410330</v>
      </c>
      <c r="F60">
        <v>7.74</v>
      </c>
      <c r="G60">
        <v>9480</v>
      </c>
      <c r="H60">
        <v>680</v>
      </c>
      <c r="I60" t="s">
        <v>639</v>
      </c>
      <c r="J60" t="s">
        <v>653</v>
      </c>
    </row>
    <row r="61" spans="1:10">
      <c r="A61" s="73">
        <v>45726</v>
      </c>
      <c r="B61" t="s">
        <v>31</v>
      </c>
      <c r="C61">
        <v>393</v>
      </c>
      <c r="D61">
        <v>181</v>
      </c>
      <c r="E61">
        <v>462142</v>
      </c>
      <c r="F61">
        <v>7.23</v>
      </c>
      <c r="G61">
        <v>6296</v>
      </c>
      <c r="H61">
        <v>212</v>
      </c>
      <c r="I61" t="s">
        <v>639</v>
      </c>
      <c r="J61" t="s">
        <v>654</v>
      </c>
    </row>
    <row r="62" spans="1:10">
      <c r="A62" s="73">
        <v>45719</v>
      </c>
      <c r="B62" t="s">
        <v>31</v>
      </c>
      <c r="C62">
        <v>1371</v>
      </c>
      <c r="D62">
        <v>56</v>
      </c>
      <c r="E62">
        <v>257579</v>
      </c>
      <c r="F62">
        <v>8.6199999999999992</v>
      </c>
      <c r="G62">
        <v>33799</v>
      </c>
      <c r="H62">
        <v>1315</v>
      </c>
      <c r="I62" t="s">
        <v>639</v>
      </c>
      <c r="J62" t="s">
        <v>193</v>
      </c>
    </row>
    <row r="63" spans="1:10">
      <c r="A63" s="73">
        <v>45712</v>
      </c>
      <c r="B63" t="s">
        <v>31</v>
      </c>
      <c r="C63">
        <v>1440</v>
      </c>
      <c r="D63">
        <v>65</v>
      </c>
      <c r="E63">
        <v>126524</v>
      </c>
      <c r="F63">
        <v>4.34</v>
      </c>
      <c r="G63">
        <v>49772</v>
      </c>
      <c r="H63">
        <v>1375</v>
      </c>
      <c r="I63" t="s">
        <v>640</v>
      </c>
      <c r="J63" t="s">
        <v>143</v>
      </c>
    </row>
    <row r="64" spans="1:10">
      <c r="A64" s="73">
        <v>45705</v>
      </c>
      <c r="B64" t="s">
        <v>31</v>
      </c>
      <c r="C64">
        <v>1138</v>
      </c>
      <c r="D64">
        <v>173</v>
      </c>
      <c r="E64">
        <v>453243</v>
      </c>
      <c r="F64">
        <v>2.86</v>
      </c>
      <c r="G64">
        <v>44097</v>
      </c>
      <c r="H64">
        <v>965</v>
      </c>
      <c r="I64" t="s">
        <v>640</v>
      </c>
      <c r="J64" t="s">
        <v>124</v>
      </c>
    </row>
    <row r="65" spans="1:10">
      <c r="A65" s="73">
        <v>45698</v>
      </c>
      <c r="B65" t="s">
        <v>31</v>
      </c>
      <c r="C65">
        <v>1957</v>
      </c>
      <c r="D65">
        <v>234</v>
      </c>
      <c r="E65">
        <v>222126</v>
      </c>
      <c r="F65">
        <v>4.6100000000000003</v>
      </c>
      <c r="G65">
        <v>3314</v>
      </c>
      <c r="H65">
        <v>1723</v>
      </c>
      <c r="I65" t="s">
        <v>640</v>
      </c>
      <c r="J65" t="s">
        <v>244</v>
      </c>
    </row>
    <row r="66" spans="1:10">
      <c r="A66" s="73">
        <v>45691</v>
      </c>
      <c r="B66" t="s">
        <v>31</v>
      </c>
      <c r="C66">
        <v>1556</v>
      </c>
      <c r="D66">
        <v>476</v>
      </c>
      <c r="E66">
        <v>351556</v>
      </c>
      <c r="F66">
        <v>3.89</v>
      </c>
      <c r="G66">
        <v>10825</v>
      </c>
      <c r="H66">
        <v>1080</v>
      </c>
      <c r="I66" t="s">
        <v>640</v>
      </c>
      <c r="J66" t="s">
        <v>655</v>
      </c>
    </row>
    <row r="67" spans="1:10">
      <c r="A67" s="73">
        <v>45684</v>
      </c>
      <c r="B67" t="s">
        <v>31</v>
      </c>
      <c r="C67">
        <v>115</v>
      </c>
      <c r="D67">
        <v>281</v>
      </c>
      <c r="E67">
        <v>357265</v>
      </c>
      <c r="F67">
        <v>9.23</v>
      </c>
      <c r="G67">
        <v>25525</v>
      </c>
      <c r="H67">
        <v>-166</v>
      </c>
      <c r="I67" t="s">
        <v>641</v>
      </c>
      <c r="J67" t="s">
        <v>219</v>
      </c>
    </row>
    <row r="68" spans="1:10">
      <c r="A68" s="73">
        <v>45677</v>
      </c>
      <c r="B68" t="s">
        <v>31</v>
      </c>
      <c r="C68">
        <v>1748</v>
      </c>
      <c r="D68">
        <v>176</v>
      </c>
      <c r="E68">
        <v>383681</v>
      </c>
      <c r="F68">
        <v>9.24</v>
      </c>
      <c r="G68">
        <v>43122</v>
      </c>
      <c r="H68">
        <v>1572</v>
      </c>
      <c r="I68" t="s">
        <v>641</v>
      </c>
      <c r="J68" t="s">
        <v>656</v>
      </c>
    </row>
    <row r="69" spans="1:10">
      <c r="A69" s="73">
        <v>45670</v>
      </c>
      <c r="B69" t="s">
        <v>31</v>
      </c>
      <c r="C69">
        <v>1855</v>
      </c>
      <c r="D69">
        <v>133</v>
      </c>
      <c r="E69">
        <v>349413</v>
      </c>
      <c r="F69">
        <v>3.3</v>
      </c>
      <c r="G69">
        <v>14548</v>
      </c>
      <c r="H69">
        <v>1722</v>
      </c>
      <c r="I69" t="s">
        <v>641</v>
      </c>
      <c r="J69" t="s">
        <v>657</v>
      </c>
    </row>
    <row r="70" spans="1:10">
      <c r="A70" s="73">
        <v>45663</v>
      </c>
      <c r="B70" t="s">
        <v>31</v>
      </c>
      <c r="C70">
        <v>1013</v>
      </c>
      <c r="D70">
        <v>110</v>
      </c>
      <c r="E70">
        <v>466382</v>
      </c>
      <c r="F70">
        <v>5.3</v>
      </c>
      <c r="G70">
        <v>37132</v>
      </c>
      <c r="H70">
        <v>903</v>
      </c>
      <c r="I70" t="s">
        <v>641</v>
      </c>
      <c r="J70" t="s">
        <v>122</v>
      </c>
    </row>
    <row r="71" spans="1:10">
      <c r="A71" s="73">
        <v>45656</v>
      </c>
      <c r="B71" t="s">
        <v>31</v>
      </c>
      <c r="C71">
        <v>1814</v>
      </c>
      <c r="D71">
        <v>49</v>
      </c>
      <c r="E71">
        <v>140804</v>
      </c>
      <c r="F71">
        <v>1.76</v>
      </c>
      <c r="G71">
        <v>4313</v>
      </c>
      <c r="H71">
        <v>1765</v>
      </c>
      <c r="I71" t="s">
        <v>642</v>
      </c>
      <c r="J71" t="s">
        <v>658</v>
      </c>
    </row>
    <row r="72" spans="1:10">
      <c r="A72" s="73">
        <v>45649</v>
      </c>
      <c r="B72" t="s">
        <v>31</v>
      </c>
      <c r="C72">
        <v>1092</v>
      </c>
      <c r="D72">
        <v>408</v>
      </c>
      <c r="E72">
        <v>280795</v>
      </c>
      <c r="F72">
        <v>8.44</v>
      </c>
      <c r="G72">
        <v>4683</v>
      </c>
      <c r="H72">
        <v>684</v>
      </c>
      <c r="I72" t="s">
        <v>642</v>
      </c>
      <c r="J72" t="s">
        <v>15</v>
      </c>
    </row>
    <row r="73" spans="1:10">
      <c r="A73" s="73">
        <v>45642</v>
      </c>
      <c r="B73" t="s">
        <v>31</v>
      </c>
      <c r="C73">
        <v>1502</v>
      </c>
      <c r="D73">
        <v>70</v>
      </c>
      <c r="E73">
        <v>465553</v>
      </c>
      <c r="F73">
        <v>3.32</v>
      </c>
      <c r="G73">
        <v>20692</v>
      </c>
      <c r="H73">
        <v>1432</v>
      </c>
      <c r="I73" t="s">
        <v>642</v>
      </c>
      <c r="J73" t="s">
        <v>109</v>
      </c>
    </row>
    <row r="74" spans="1:10">
      <c r="A74" s="73">
        <v>45635</v>
      </c>
      <c r="B74" t="s">
        <v>31</v>
      </c>
      <c r="C74">
        <v>1494</v>
      </c>
      <c r="D74">
        <v>375</v>
      </c>
      <c r="E74">
        <v>220616</v>
      </c>
      <c r="F74">
        <v>1.81</v>
      </c>
      <c r="G74">
        <v>22724</v>
      </c>
      <c r="H74">
        <v>1119</v>
      </c>
      <c r="I74" t="s">
        <v>642</v>
      </c>
      <c r="J74" t="s">
        <v>216</v>
      </c>
    </row>
    <row r="75" spans="1:10">
      <c r="A75" s="73">
        <v>45628</v>
      </c>
      <c r="B75" t="s">
        <v>31</v>
      </c>
      <c r="C75">
        <v>1696</v>
      </c>
      <c r="D75">
        <v>71</v>
      </c>
      <c r="E75">
        <v>421957</v>
      </c>
      <c r="F75">
        <v>3.79</v>
      </c>
      <c r="G75">
        <v>36103</v>
      </c>
      <c r="H75">
        <v>1625</v>
      </c>
      <c r="I75" t="s">
        <v>642</v>
      </c>
      <c r="J75" t="s">
        <v>659</v>
      </c>
    </row>
    <row r="76" spans="1:10">
      <c r="A76" s="73">
        <v>45621</v>
      </c>
      <c r="B76" t="s">
        <v>31</v>
      </c>
      <c r="C76">
        <v>1854</v>
      </c>
      <c r="D76">
        <v>161</v>
      </c>
      <c r="E76">
        <v>282466</v>
      </c>
      <c r="F76">
        <v>5.17</v>
      </c>
      <c r="G76">
        <v>1810</v>
      </c>
      <c r="H76">
        <v>1693</v>
      </c>
      <c r="I76" t="s">
        <v>643</v>
      </c>
      <c r="J76" t="s">
        <v>126</v>
      </c>
    </row>
    <row r="77" spans="1:10">
      <c r="A77" s="73">
        <v>45614</v>
      </c>
      <c r="B77" t="s">
        <v>31</v>
      </c>
      <c r="C77">
        <v>187</v>
      </c>
      <c r="D77">
        <v>236</v>
      </c>
      <c r="E77">
        <v>51087</v>
      </c>
      <c r="F77">
        <v>9.41</v>
      </c>
      <c r="G77">
        <v>29533</v>
      </c>
      <c r="H77">
        <v>-49</v>
      </c>
      <c r="I77" t="s">
        <v>643</v>
      </c>
      <c r="J77" t="s">
        <v>63</v>
      </c>
    </row>
    <row r="78" spans="1:10">
      <c r="A78" s="73">
        <v>45607</v>
      </c>
      <c r="B78" t="s">
        <v>31</v>
      </c>
      <c r="C78">
        <v>1075</v>
      </c>
      <c r="D78">
        <v>173</v>
      </c>
      <c r="E78">
        <v>51395</v>
      </c>
      <c r="F78">
        <v>4.66</v>
      </c>
      <c r="G78">
        <v>47812</v>
      </c>
      <c r="H78">
        <v>902</v>
      </c>
      <c r="I78" t="s">
        <v>643</v>
      </c>
      <c r="J78" t="s">
        <v>660</v>
      </c>
    </row>
    <row r="79" spans="1:10">
      <c r="A79" s="73">
        <v>45600</v>
      </c>
      <c r="B79" t="s">
        <v>31</v>
      </c>
      <c r="C79">
        <v>1466</v>
      </c>
      <c r="D79">
        <v>69</v>
      </c>
      <c r="E79">
        <v>54935</v>
      </c>
      <c r="F79">
        <v>6.85</v>
      </c>
      <c r="G79">
        <v>36484</v>
      </c>
      <c r="H79">
        <v>1397</v>
      </c>
      <c r="I79" t="s">
        <v>643</v>
      </c>
      <c r="J79" t="s">
        <v>278</v>
      </c>
    </row>
    <row r="80" spans="1:10">
      <c r="A80" s="73">
        <v>45593</v>
      </c>
      <c r="B80" t="s">
        <v>31</v>
      </c>
      <c r="C80">
        <v>642</v>
      </c>
      <c r="D80">
        <v>66</v>
      </c>
      <c r="E80">
        <v>346522</v>
      </c>
      <c r="F80">
        <v>5.85</v>
      </c>
      <c r="G80">
        <v>13116</v>
      </c>
      <c r="H80">
        <v>576</v>
      </c>
      <c r="I80" t="s">
        <v>644</v>
      </c>
      <c r="J80" t="s">
        <v>197</v>
      </c>
    </row>
    <row r="81" spans="1:10">
      <c r="A81" s="73">
        <v>45586</v>
      </c>
      <c r="B81" t="s">
        <v>31</v>
      </c>
      <c r="C81">
        <v>703</v>
      </c>
      <c r="D81">
        <v>441</v>
      </c>
      <c r="E81">
        <v>357089</v>
      </c>
      <c r="F81">
        <v>6.5</v>
      </c>
      <c r="G81">
        <v>32478</v>
      </c>
      <c r="H81">
        <v>262</v>
      </c>
      <c r="I81" t="s">
        <v>644</v>
      </c>
      <c r="J81" t="s">
        <v>164</v>
      </c>
    </row>
    <row r="82" spans="1:10">
      <c r="A82" s="73">
        <v>45579</v>
      </c>
      <c r="B82" t="s">
        <v>31</v>
      </c>
      <c r="C82">
        <v>1527</v>
      </c>
      <c r="D82">
        <v>303</v>
      </c>
      <c r="E82">
        <v>388555</v>
      </c>
      <c r="F82">
        <v>8.9</v>
      </c>
      <c r="G82">
        <v>36397</v>
      </c>
      <c r="H82">
        <v>1224</v>
      </c>
      <c r="I82" t="s">
        <v>644</v>
      </c>
      <c r="J82" t="s">
        <v>661</v>
      </c>
    </row>
    <row r="83" spans="1:10">
      <c r="A83" s="73">
        <v>45572</v>
      </c>
      <c r="B83" t="s">
        <v>31</v>
      </c>
      <c r="C83">
        <v>1939</v>
      </c>
      <c r="D83">
        <v>67</v>
      </c>
      <c r="E83">
        <v>187183</v>
      </c>
      <c r="F83">
        <v>6.25</v>
      </c>
      <c r="G83">
        <v>41215</v>
      </c>
      <c r="H83">
        <v>1872</v>
      </c>
      <c r="I83" t="s">
        <v>644</v>
      </c>
      <c r="J83" t="s">
        <v>662</v>
      </c>
    </row>
    <row r="84" spans="1:10">
      <c r="A84" s="73">
        <v>45565</v>
      </c>
      <c r="B84" t="s">
        <v>31</v>
      </c>
      <c r="C84">
        <v>1433</v>
      </c>
      <c r="D84">
        <v>408</v>
      </c>
      <c r="E84">
        <v>370269</v>
      </c>
      <c r="F84">
        <v>3.3</v>
      </c>
      <c r="G84">
        <v>30575</v>
      </c>
      <c r="H84">
        <v>1025</v>
      </c>
      <c r="I84" t="s">
        <v>645</v>
      </c>
      <c r="J84" t="s">
        <v>663</v>
      </c>
    </row>
    <row r="85" spans="1:10">
      <c r="A85" s="73">
        <v>45558</v>
      </c>
      <c r="B85" t="s">
        <v>31</v>
      </c>
      <c r="C85">
        <v>817</v>
      </c>
      <c r="D85">
        <v>151</v>
      </c>
      <c r="E85">
        <v>422625</v>
      </c>
      <c r="F85">
        <v>2.36</v>
      </c>
      <c r="G85">
        <v>1083</v>
      </c>
      <c r="H85">
        <v>666</v>
      </c>
      <c r="I85" t="s">
        <v>645</v>
      </c>
      <c r="J85" t="s">
        <v>664</v>
      </c>
    </row>
    <row r="86" spans="1:10">
      <c r="A86" s="73">
        <v>45551</v>
      </c>
      <c r="B86" t="s">
        <v>31</v>
      </c>
      <c r="C86">
        <v>778</v>
      </c>
      <c r="D86">
        <v>401</v>
      </c>
      <c r="E86">
        <v>50793</v>
      </c>
      <c r="F86">
        <v>3.4</v>
      </c>
      <c r="G86">
        <v>21939</v>
      </c>
      <c r="H86">
        <v>377</v>
      </c>
      <c r="I86" t="s">
        <v>645</v>
      </c>
      <c r="J86" t="s">
        <v>665</v>
      </c>
    </row>
    <row r="87" spans="1:10">
      <c r="A87" s="73">
        <v>45544</v>
      </c>
      <c r="B87" t="s">
        <v>31</v>
      </c>
      <c r="C87">
        <v>1592</v>
      </c>
      <c r="D87">
        <v>20</v>
      </c>
      <c r="E87">
        <v>378054</v>
      </c>
      <c r="F87">
        <v>9.09</v>
      </c>
      <c r="G87">
        <v>26663</v>
      </c>
      <c r="H87">
        <v>1572</v>
      </c>
      <c r="I87" t="s">
        <v>645</v>
      </c>
      <c r="J87" t="s">
        <v>84</v>
      </c>
    </row>
    <row r="88" spans="1:10">
      <c r="A88" s="73">
        <v>45537</v>
      </c>
      <c r="B88" t="s">
        <v>31</v>
      </c>
      <c r="C88">
        <v>1429</v>
      </c>
      <c r="D88">
        <v>182</v>
      </c>
      <c r="E88">
        <v>101332</v>
      </c>
      <c r="F88">
        <v>7.16</v>
      </c>
      <c r="G88">
        <v>37829</v>
      </c>
      <c r="H88">
        <v>1247</v>
      </c>
      <c r="I88" t="s">
        <v>645</v>
      </c>
      <c r="J88" t="s">
        <v>191</v>
      </c>
    </row>
    <row r="89" spans="1:10">
      <c r="A89" s="73">
        <v>45530</v>
      </c>
      <c r="B89" t="s">
        <v>31</v>
      </c>
      <c r="C89">
        <v>1685</v>
      </c>
      <c r="D89">
        <v>76</v>
      </c>
      <c r="E89">
        <v>453799</v>
      </c>
      <c r="F89">
        <v>5.71</v>
      </c>
      <c r="G89">
        <v>24913</v>
      </c>
      <c r="H89">
        <v>1609</v>
      </c>
      <c r="I89" t="s">
        <v>646</v>
      </c>
      <c r="J89" t="s">
        <v>73</v>
      </c>
    </row>
    <row r="90" spans="1:10">
      <c r="A90" s="73">
        <v>45523</v>
      </c>
      <c r="B90" t="s">
        <v>31</v>
      </c>
      <c r="C90">
        <v>215</v>
      </c>
      <c r="D90">
        <v>139</v>
      </c>
      <c r="E90">
        <v>325444</v>
      </c>
      <c r="F90">
        <v>3.25</v>
      </c>
      <c r="G90">
        <v>35501</v>
      </c>
      <c r="H90">
        <v>76</v>
      </c>
      <c r="I90" t="s">
        <v>646</v>
      </c>
      <c r="J90" t="s">
        <v>79</v>
      </c>
    </row>
    <row r="91" spans="1:10">
      <c r="A91" s="73">
        <v>45516</v>
      </c>
      <c r="B91" t="s">
        <v>31</v>
      </c>
      <c r="C91">
        <v>1528</v>
      </c>
      <c r="D91">
        <v>203</v>
      </c>
      <c r="E91">
        <v>489188</v>
      </c>
      <c r="F91">
        <v>6.23</v>
      </c>
      <c r="G91">
        <v>47101</v>
      </c>
      <c r="H91">
        <v>1325</v>
      </c>
      <c r="I91" t="s">
        <v>646</v>
      </c>
      <c r="J91" t="s">
        <v>32</v>
      </c>
    </row>
    <row r="92" spans="1:10">
      <c r="A92" s="73">
        <v>45509</v>
      </c>
      <c r="B92" t="s">
        <v>31</v>
      </c>
      <c r="C92">
        <v>645</v>
      </c>
      <c r="D92">
        <v>293</v>
      </c>
      <c r="E92">
        <v>437968</v>
      </c>
      <c r="F92">
        <v>7.83</v>
      </c>
      <c r="G92">
        <v>49303</v>
      </c>
      <c r="H92">
        <v>352</v>
      </c>
      <c r="I92" t="s">
        <v>646</v>
      </c>
      <c r="J92" t="s">
        <v>491</v>
      </c>
    </row>
    <row r="93" spans="1:10">
      <c r="A93" s="73">
        <v>45502</v>
      </c>
      <c r="B93" t="s">
        <v>31</v>
      </c>
      <c r="C93">
        <v>653</v>
      </c>
      <c r="D93">
        <v>112</v>
      </c>
      <c r="E93">
        <v>23664</v>
      </c>
      <c r="F93">
        <v>4.05</v>
      </c>
      <c r="G93">
        <v>15353</v>
      </c>
      <c r="H93">
        <v>541</v>
      </c>
      <c r="I93" t="s">
        <v>647</v>
      </c>
      <c r="J93" t="s">
        <v>263</v>
      </c>
    </row>
    <row r="94" spans="1:10">
      <c r="A94" s="73">
        <v>45495</v>
      </c>
      <c r="B94" t="s">
        <v>31</v>
      </c>
      <c r="C94">
        <v>508</v>
      </c>
      <c r="D94">
        <v>349</v>
      </c>
      <c r="E94">
        <v>473812</v>
      </c>
      <c r="F94">
        <v>7.88</v>
      </c>
      <c r="G94">
        <v>17328</v>
      </c>
      <c r="H94">
        <v>159</v>
      </c>
      <c r="I94" t="s">
        <v>647</v>
      </c>
      <c r="J94" t="s">
        <v>666</v>
      </c>
    </row>
    <row r="95" spans="1:10">
      <c r="A95" s="73">
        <v>45488</v>
      </c>
      <c r="B95" t="s">
        <v>31</v>
      </c>
      <c r="C95">
        <v>1960</v>
      </c>
      <c r="D95">
        <v>115</v>
      </c>
      <c r="E95">
        <v>154169</v>
      </c>
      <c r="F95">
        <v>3.74</v>
      </c>
      <c r="G95">
        <v>10740</v>
      </c>
      <c r="H95">
        <v>1845</v>
      </c>
      <c r="I95" t="s">
        <v>647</v>
      </c>
      <c r="J95" t="s">
        <v>312</v>
      </c>
    </row>
    <row r="96" spans="1:10">
      <c r="A96" s="73">
        <v>45481</v>
      </c>
      <c r="B96" t="s">
        <v>31</v>
      </c>
      <c r="C96">
        <v>1757</v>
      </c>
      <c r="D96">
        <v>85</v>
      </c>
      <c r="E96">
        <v>58223</v>
      </c>
      <c r="F96">
        <v>8.74</v>
      </c>
      <c r="G96">
        <v>22728</v>
      </c>
      <c r="H96">
        <v>1672</v>
      </c>
      <c r="I96" t="s">
        <v>647</v>
      </c>
      <c r="J96" t="s">
        <v>667</v>
      </c>
    </row>
    <row r="97" spans="1:10">
      <c r="A97" s="73">
        <v>45474</v>
      </c>
      <c r="B97" t="s">
        <v>31</v>
      </c>
      <c r="C97">
        <v>226</v>
      </c>
      <c r="D97">
        <v>445</v>
      </c>
      <c r="E97">
        <v>419447</v>
      </c>
      <c r="F97">
        <v>9.36</v>
      </c>
      <c r="G97">
        <v>9566</v>
      </c>
      <c r="H97">
        <v>-219</v>
      </c>
      <c r="I97" t="s">
        <v>647</v>
      </c>
      <c r="J97" t="s">
        <v>448</v>
      </c>
    </row>
    <row r="98" spans="1:10">
      <c r="A98" s="73">
        <v>45467</v>
      </c>
      <c r="B98" t="s">
        <v>31</v>
      </c>
      <c r="C98">
        <v>911</v>
      </c>
      <c r="D98">
        <v>282</v>
      </c>
      <c r="E98">
        <v>35664</v>
      </c>
      <c r="F98">
        <v>6.92</v>
      </c>
      <c r="G98">
        <v>18050</v>
      </c>
      <c r="H98">
        <v>629</v>
      </c>
      <c r="I98" t="s">
        <v>648</v>
      </c>
      <c r="J98" t="s">
        <v>46</v>
      </c>
    </row>
    <row r="99" spans="1:10">
      <c r="A99" s="73">
        <v>45460</v>
      </c>
      <c r="B99" t="s">
        <v>31</v>
      </c>
      <c r="C99">
        <v>1048</v>
      </c>
      <c r="D99">
        <v>155</v>
      </c>
      <c r="E99">
        <v>456946</v>
      </c>
      <c r="F99">
        <v>2.46</v>
      </c>
      <c r="G99">
        <v>11329</v>
      </c>
      <c r="H99">
        <v>893</v>
      </c>
      <c r="I99" t="s">
        <v>648</v>
      </c>
      <c r="J99" t="s">
        <v>159</v>
      </c>
    </row>
    <row r="100" spans="1:10">
      <c r="A100" s="73">
        <v>45453</v>
      </c>
      <c r="B100" t="s">
        <v>31</v>
      </c>
      <c r="C100">
        <v>656</v>
      </c>
      <c r="D100">
        <v>139</v>
      </c>
      <c r="E100">
        <v>49157</v>
      </c>
      <c r="F100">
        <v>9.0500000000000007</v>
      </c>
      <c r="G100">
        <v>9920</v>
      </c>
      <c r="H100">
        <v>517</v>
      </c>
      <c r="I100" t="s">
        <v>648</v>
      </c>
      <c r="J100" t="s">
        <v>148</v>
      </c>
    </row>
    <row r="101" spans="1:10">
      <c r="A101" s="73">
        <v>45446</v>
      </c>
      <c r="B101" t="s">
        <v>31</v>
      </c>
      <c r="C101">
        <v>1135</v>
      </c>
      <c r="D101">
        <v>88</v>
      </c>
      <c r="E101">
        <v>344084</v>
      </c>
      <c r="F101">
        <v>8.06</v>
      </c>
      <c r="G101">
        <v>5904</v>
      </c>
      <c r="H101">
        <v>1047</v>
      </c>
      <c r="I101" t="s">
        <v>648</v>
      </c>
      <c r="J101" t="s">
        <v>227</v>
      </c>
    </row>
    <row r="102" spans="1:10">
      <c r="A102" s="73">
        <v>45789</v>
      </c>
      <c r="B102" t="s">
        <v>14</v>
      </c>
      <c r="C102">
        <v>337</v>
      </c>
      <c r="D102">
        <v>68</v>
      </c>
      <c r="E102">
        <v>456298</v>
      </c>
      <c r="F102">
        <v>7.57</v>
      </c>
      <c r="G102">
        <v>4007</v>
      </c>
      <c r="H102">
        <v>269</v>
      </c>
      <c r="I102" t="s">
        <v>637</v>
      </c>
      <c r="J102" t="s">
        <v>28</v>
      </c>
    </row>
    <row r="103" spans="1:10">
      <c r="A103" s="73">
        <v>45782</v>
      </c>
      <c r="B103" t="s">
        <v>14</v>
      </c>
      <c r="C103">
        <v>1581</v>
      </c>
      <c r="D103">
        <v>71</v>
      </c>
      <c r="E103">
        <v>484364</v>
      </c>
      <c r="F103">
        <v>3.55</v>
      </c>
      <c r="G103">
        <v>16149</v>
      </c>
      <c r="H103">
        <v>1510</v>
      </c>
      <c r="I103" t="s">
        <v>637</v>
      </c>
      <c r="J103" t="s">
        <v>76</v>
      </c>
    </row>
    <row r="104" spans="1:10">
      <c r="A104" s="73">
        <v>45775</v>
      </c>
      <c r="B104" t="s">
        <v>14</v>
      </c>
      <c r="C104">
        <v>1222</v>
      </c>
      <c r="D104">
        <v>274</v>
      </c>
      <c r="E104">
        <v>487289</v>
      </c>
      <c r="F104">
        <v>3.16</v>
      </c>
      <c r="G104">
        <v>32500</v>
      </c>
      <c r="H104">
        <v>948</v>
      </c>
      <c r="I104" t="s">
        <v>638</v>
      </c>
      <c r="J104" t="s">
        <v>359</v>
      </c>
    </row>
    <row r="105" spans="1:10">
      <c r="A105" s="73">
        <v>45768</v>
      </c>
      <c r="B105" t="s">
        <v>14</v>
      </c>
      <c r="C105">
        <v>1147</v>
      </c>
      <c r="D105">
        <v>388</v>
      </c>
      <c r="E105">
        <v>333851</v>
      </c>
      <c r="F105">
        <v>2.44</v>
      </c>
      <c r="G105">
        <v>8471</v>
      </c>
      <c r="H105">
        <v>759</v>
      </c>
      <c r="I105" t="s">
        <v>638</v>
      </c>
      <c r="J105" t="s">
        <v>650</v>
      </c>
    </row>
    <row r="106" spans="1:10">
      <c r="A106" s="73">
        <v>45761</v>
      </c>
      <c r="B106" t="s">
        <v>14</v>
      </c>
      <c r="C106">
        <v>353</v>
      </c>
      <c r="D106">
        <v>300</v>
      </c>
      <c r="E106">
        <v>142507</v>
      </c>
      <c r="F106">
        <v>5.3</v>
      </c>
      <c r="G106">
        <v>11035</v>
      </c>
      <c r="H106">
        <v>53</v>
      </c>
      <c r="I106" t="s">
        <v>638</v>
      </c>
      <c r="J106" t="s">
        <v>651</v>
      </c>
    </row>
    <row r="107" spans="1:10">
      <c r="A107" s="73">
        <v>45754</v>
      </c>
      <c r="B107" t="s">
        <v>14</v>
      </c>
      <c r="C107">
        <v>1432</v>
      </c>
      <c r="D107">
        <v>425</v>
      </c>
      <c r="E107">
        <v>29589</v>
      </c>
      <c r="F107">
        <v>4.5</v>
      </c>
      <c r="G107">
        <v>42964</v>
      </c>
      <c r="H107">
        <v>1007</v>
      </c>
      <c r="I107" t="s">
        <v>638</v>
      </c>
      <c r="J107" t="s">
        <v>407</v>
      </c>
    </row>
    <row r="108" spans="1:10">
      <c r="A108" s="73">
        <v>45747</v>
      </c>
      <c r="B108" t="s">
        <v>14</v>
      </c>
      <c r="C108">
        <v>1946</v>
      </c>
      <c r="D108">
        <v>270</v>
      </c>
      <c r="E108">
        <v>198350</v>
      </c>
      <c r="F108">
        <v>7.5</v>
      </c>
      <c r="G108">
        <v>11805</v>
      </c>
      <c r="H108">
        <v>1676</v>
      </c>
      <c r="I108" t="s">
        <v>639</v>
      </c>
      <c r="J108" t="s">
        <v>652</v>
      </c>
    </row>
    <row r="109" spans="1:10">
      <c r="A109" s="73">
        <v>45740</v>
      </c>
      <c r="B109" t="s">
        <v>14</v>
      </c>
      <c r="C109">
        <v>364</v>
      </c>
      <c r="D109">
        <v>72</v>
      </c>
      <c r="E109">
        <v>211090</v>
      </c>
      <c r="F109">
        <v>5.53</v>
      </c>
      <c r="G109">
        <v>21061</v>
      </c>
      <c r="H109">
        <v>292</v>
      </c>
      <c r="I109" t="s">
        <v>639</v>
      </c>
      <c r="J109" t="s">
        <v>229</v>
      </c>
    </row>
    <row r="110" spans="1:10">
      <c r="A110" s="73">
        <v>45733</v>
      </c>
      <c r="B110" t="s">
        <v>14</v>
      </c>
      <c r="C110">
        <v>1077</v>
      </c>
      <c r="D110">
        <v>216</v>
      </c>
      <c r="E110">
        <v>12447</v>
      </c>
      <c r="F110">
        <v>1.8</v>
      </c>
      <c r="G110">
        <v>14068</v>
      </c>
      <c r="H110">
        <v>861</v>
      </c>
      <c r="I110" t="s">
        <v>639</v>
      </c>
      <c r="J110" t="s">
        <v>653</v>
      </c>
    </row>
    <row r="111" spans="1:10">
      <c r="A111" s="73">
        <v>45726</v>
      </c>
      <c r="B111" t="s">
        <v>14</v>
      </c>
      <c r="C111">
        <v>1399</v>
      </c>
      <c r="D111">
        <v>49</v>
      </c>
      <c r="E111">
        <v>12471</v>
      </c>
      <c r="F111">
        <v>5.12</v>
      </c>
      <c r="G111">
        <v>14722</v>
      </c>
      <c r="H111">
        <v>1350</v>
      </c>
      <c r="I111" t="s">
        <v>639</v>
      </c>
      <c r="J111" t="s">
        <v>654</v>
      </c>
    </row>
    <row r="112" spans="1:10">
      <c r="A112" s="73">
        <v>45719</v>
      </c>
      <c r="B112" t="s">
        <v>14</v>
      </c>
      <c r="C112">
        <v>946</v>
      </c>
      <c r="D112">
        <v>47</v>
      </c>
      <c r="E112">
        <v>466575</v>
      </c>
      <c r="F112">
        <v>8.33</v>
      </c>
      <c r="G112">
        <v>10002</v>
      </c>
      <c r="H112">
        <v>899</v>
      </c>
      <c r="I112" t="s">
        <v>639</v>
      </c>
      <c r="J112" t="s">
        <v>193</v>
      </c>
    </row>
    <row r="113" spans="1:10">
      <c r="A113" s="73">
        <v>45712</v>
      </c>
      <c r="B113" t="s">
        <v>14</v>
      </c>
      <c r="C113">
        <v>861</v>
      </c>
      <c r="D113">
        <v>153</v>
      </c>
      <c r="E113">
        <v>317007</v>
      </c>
      <c r="F113">
        <v>3.85</v>
      </c>
      <c r="G113">
        <v>8718</v>
      </c>
      <c r="H113">
        <v>708</v>
      </c>
      <c r="I113" t="s">
        <v>640</v>
      </c>
      <c r="J113" t="s">
        <v>143</v>
      </c>
    </row>
    <row r="114" spans="1:10">
      <c r="A114" s="73">
        <v>45705</v>
      </c>
      <c r="B114" t="s">
        <v>14</v>
      </c>
      <c r="C114">
        <v>362</v>
      </c>
      <c r="D114">
        <v>399</v>
      </c>
      <c r="E114">
        <v>145608</v>
      </c>
      <c r="F114">
        <v>7.3</v>
      </c>
      <c r="G114">
        <v>37636</v>
      </c>
      <c r="H114">
        <v>-37</v>
      </c>
      <c r="I114" t="s">
        <v>640</v>
      </c>
      <c r="J114" t="s">
        <v>124</v>
      </c>
    </row>
    <row r="115" spans="1:10">
      <c r="A115" s="73">
        <v>45698</v>
      </c>
      <c r="B115" t="s">
        <v>14</v>
      </c>
      <c r="C115">
        <v>1587</v>
      </c>
      <c r="D115">
        <v>385</v>
      </c>
      <c r="E115">
        <v>126582</v>
      </c>
      <c r="F115">
        <v>6.99</v>
      </c>
      <c r="G115">
        <v>42832</v>
      </c>
      <c r="H115">
        <v>1202</v>
      </c>
      <c r="I115" t="s">
        <v>640</v>
      </c>
      <c r="J115" t="s">
        <v>244</v>
      </c>
    </row>
    <row r="116" spans="1:10">
      <c r="A116" s="73">
        <v>45691</v>
      </c>
      <c r="B116" t="s">
        <v>14</v>
      </c>
      <c r="C116">
        <v>927</v>
      </c>
      <c r="D116">
        <v>358</v>
      </c>
      <c r="E116">
        <v>177554</v>
      </c>
      <c r="F116">
        <v>6.95</v>
      </c>
      <c r="G116">
        <v>48270</v>
      </c>
      <c r="H116">
        <v>569</v>
      </c>
      <c r="I116" t="s">
        <v>640</v>
      </c>
      <c r="J116" t="s">
        <v>655</v>
      </c>
    </row>
    <row r="117" spans="1:10">
      <c r="A117" s="73">
        <v>45684</v>
      </c>
      <c r="B117" t="s">
        <v>14</v>
      </c>
      <c r="C117">
        <v>1501</v>
      </c>
      <c r="D117">
        <v>75</v>
      </c>
      <c r="E117">
        <v>262569</v>
      </c>
      <c r="F117">
        <v>2.0099999999999998</v>
      </c>
      <c r="G117">
        <v>19119</v>
      </c>
      <c r="H117">
        <v>1426</v>
      </c>
      <c r="I117" t="s">
        <v>641</v>
      </c>
      <c r="J117" t="s">
        <v>219</v>
      </c>
    </row>
    <row r="118" spans="1:10">
      <c r="A118" s="73">
        <v>45677</v>
      </c>
      <c r="B118" t="s">
        <v>14</v>
      </c>
      <c r="C118">
        <v>1040</v>
      </c>
      <c r="D118">
        <v>149</v>
      </c>
      <c r="E118">
        <v>124404</v>
      </c>
      <c r="F118">
        <v>5.23</v>
      </c>
      <c r="G118">
        <v>45380</v>
      </c>
      <c r="H118">
        <v>891</v>
      </c>
      <c r="I118" t="s">
        <v>641</v>
      </c>
      <c r="J118" t="s">
        <v>656</v>
      </c>
    </row>
    <row r="119" spans="1:10">
      <c r="A119" s="73">
        <v>45670</v>
      </c>
      <c r="B119" t="s">
        <v>14</v>
      </c>
      <c r="C119">
        <v>118</v>
      </c>
      <c r="D119">
        <v>262</v>
      </c>
      <c r="E119">
        <v>487896</v>
      </c>
      <c r="F119">
        <v>2.56</v>
      </c>
      <c r="G119">
        <v>12350</v>
      </c>
      <c r="H119">
        <v>-144</v>
      </c>
      <c r="I119" t="s">
        <v>641</v>
      </c>
      <c r="J119" t="s">
        <v>657</v>
      </c>
    </row>
    <row r="120" spans="1:10">
      <c r="A120" s="73">
        <v>45663</v>
      </c>
      <c r="B120" t="s">
        <v>14</v>
      </c>
      <c r="C120">
        <v>1633</v>
      </c>
      <c r="D120">
        <v>445</v>
      </c>
      <c r="E120">
        <v>371156</v>
      </c>
      <c r="F120">
        <v>2.2200000000000002</v>
      </c>
      <c r="G120">
        <v>2798</v>
      </c>
      <c r="H120">
        <v>1188</v>
      </c>
      <c r="I120" t="s">
        <v>641</v>
      </c>
      <c r="J120" t="s">
        <v>122</v>
      </c>
    </row>
    <row r="121" spans="1:10">
      <c r="A121" s="73">
        <v>45656</v>
      </c>
      <c r="B121" t="s">
        <v>14</v>
      </c>
      <c r="C121">
        <v>1786</v>
      </c>
      <c r="D121">
        <v>257</v>
      </c>
      <c r="E121">
        <v>274831</v>
      </c>
      <c r="F121">
        <v>4.68</v>
      </c>
      <c r="G121">
        <v>9118</v>
      </c>
      <c r="H121">
        <v>1529</v>
      </c>
      <c r="I121" t="s">
        <v>642</v>
      </c>
      <c r="J121" t="s">
        <v>658</v>
      </c>
    </row>
    <row r="122" spans="1:10">
      <c r="A122" s="73">
        <v>45649</v>
      </c>
      <c r="B122" t="s">
        <v>14</v>
      </c>
      <c r="C122">
        <v>1137</v>
      </c>
      <c r="D122">
        <v>226</v>
      </c>
      <c r="E122">
        <v>81119</v>
      </c>
      <c r="F122">
        <v>7.74</v>
      </c>
      <c r="G122">
        <v>35359</v>
      </c>
      <c r="H122">
        <v>911</v>
      </c>
      <c r="I122" t="s">
        <v>642</v>
      </c>
      <c r="J122" t="s">
        <v>15</v>
      </c>
    </row>
    <row r="123" spans="1:10">
      <c r="A123" s="73">
        <v>45642</v>
      </c>
      <c r="B123" t="s">
        <v>14</v>
      </c>
      <c r="C123">
        <v>1592</v>
      </c>
      <c r="D123">
        <v>233</v>
      </c>
      <c r="E123">
        <v>327183</v>
      </c>
      <c r="F123">
        <v>6.66</v>
      </c>
      <c r="G123">
        <v>13316</v>
      </c>
      <c r="H123">
        <v>1359</v>
      </c>
      <c r="I123" t="s">
        <v>642</v>
      </c>
      <c r="J123" t="s">
        <v>109</v>
      </c>
    </row>
    <row r="124" spans="1:10">
      <c r="A124" s="73">
        <v>45635</v>
      </c>
      <c r="B124" t="s">
        <v>14</v>
      </c>
      <c r="C124">
        <v>1937</v>
      </c>
      <c r="D124">
        <v>210</v>
      </c>
      <c r="E124">
        <v>20607</v>
      </c>
      <c r="F124">
        <v>4.2</v>
      </c>
      <c r="G124">
        <v>20861</v>
      </c>
      <c r="H124">
        <v>1727</v>
      </c>
      <c r="I124" t="s">
        <v>642</v>
      </c>
      <c r="J124" t="s">
        <v>216</v>
      </c>
    </row>
    <row r="125" spans="1:10">
      <c r="A125" s="73">
        <v>45628</v>
      </c>
      <c r="B125" t="s">
        <v>14</v>
      </c>
      <c r="C125">
        <v>1441</v>
      </c>
      <c r="D125">
        <v>268</v>
      </c>
      <c r="E125">
        <v>309904</v>
      </c>
      <c r="F125">
        <v>6.37</v>
      </c>
      <c r="G125">
        <v>3455</v>
      </c>
      <c r="H125">
        <v>1173</v>
      </c>
      <c r="I125" t="s">
        <v>642</v>
      </c>
      <c r="J125" t="s">
        <v>659</v>
      </c>
    </row>
    <row r="126" spans="1:10">
      <c r="A126" s="73">
        <v>45621</v>
      </c>
      <c r="B126" t="s">
        <v>14</v>
      </c>
      <c r="C126">
        <v>330</v>
      </c>
      <c r="D126">
        <v>232</v>
      </c>
      <c r="E126">
        <v>88455</v>
      </c>
      <c r="F126">
        <v>2.69</v>
      </c>
      <c r="G126">
        <v>39530</v>
      </c>
      <c r="H126">
        <v>98</v>
      </c>
      <c r="I126" t="s">
        <v>643</v>
      </c>
      <c r="J126" t="s">
        <v>126</v>
      </c>
    </row>
    <row r="127" spans="1:10">
      <c r="A127" s="73">
        <v>45614</v>
      </c>
      <c r="B127" t="s">
        <v>14</v>
      </c>
      <c r="C127">
        <v>628</v>
      </c>
      <c r="D127">
        <v>183</v>
      </c>
      <c r="E127">
        <v>487523</v>
      </c>
      <c r="F127">
        <v>7.32</v>
      </c>
      <c r="G127">
        <v>5391</v>
      </c>
      <c r="H127">
        <v>445</v>
      </c>
      <c r="I127" t="s">
        <v>643</v>
      </c>
      <c r="J127" t="s">
        <v>63</v>
      </c>
    </row>
    <row r="128" spans="1:10">
      <c r="A128" s="73">
        <v>45607</v>
      </c>
      <c r="B128" t="s">
        <v>14</v>
      </c>
      <c r="C128">
        <v>1487</v>
      </c>
      <c r="D128">
        <v>337</v>
      </c>
      <c r="E128">
        <v>87305</v>
      </c>
      <c r="F128">
        <v>2.46</v>
      </c>
      <c r="G128">
        <v>30428</v>
      </c>
      <c r="H128">
        <v>1150</v>
      </c>
      <c r="I128" t="s">
        <v>643</v>
      </c>
      <c r="J128" t="s">
        <v>660</v>
      </c>
    </row>
    <row r="129" spans="1:10">
      <c r="A129" s="73">
        <v>45600</v>
      </c>
      <c r="B129" t="s">
        <v>14</v>
      </c>
      <c r="C129">
        <v>1821</v>
      </c>
      <c r="D129">
        <v>218</v>
      </c>
      <c r="E129">
        <v>439080</v>
      </c>
      <c r="F129">
        <v>5.68</v>
      </c>
      <c r="G129">
        <v>36095</v>
      </c>
      <c r="H129">
        <v>1603</v>
      </c>
      <c r="I129" t="s">
        <v>643</v>
      </c>
      <c r="J129" t="s">
        <v>278</v>
      </c>
    </row>
    <row r="130" spans="1:10">
      <c r="A130" s="73">
        <v>45593</v>
      </c>
      <c r="B130" t="s">
        <v>14</v>
      </c>
      <c r="C130">
        <v>191</v>
      </c>
      <c r="D130">
        <v>154</v>
      </c>
      <c r="E130">
        <v>240550</v>
      </c>
      <c r="F130">
        <v>5.22</v>
      </c>
      <c r="G130">
        <v>15827</v>
      </c>
      <c r="H130">
        <v>37</v>
      </c>
      <c r="I130" t="s">
        <v>644</v>
      </c>
      <c r="J130" t="s">
        <v>197</v>
      </c>
    </row>
    <row r="131" spans="1:10">
      <c r="A131" s="73">
        <v>45586</v>
      </c>
      <c r="B131" t="s">
        <v>14</v>
      </c>
      <c r="C131">
        <v>697</v>
      </c>
      <c r="D131">
        <v>61</v>
      </c>
      <c r="E131">
        <v>258287</v>
      </c>
      <c r="F131">
        <v>8.25</v>
      </c>
      <c r="G131">
        <v>21208</v>
      </c>
      <c r="H131">
        <v>636</v>
      </c>
      <c r="I131" t="s">
        <v>644</v>
      </c>
      <c r="J131" t="s">
        <v>164</v>
      </c>
    </row>
    <row r="132" spans="1:10">
      <c r="A132" s="73">
        <v>45579</v>
      </c>
      <c r="B132" t="s">
        <v>14</v>
      </c>
      <c r="C132">
        <v>201</v>
      </c>
      <c r="D132">
        <v>221</v>
      </c>
      <c r="E132">
        <v>309772</v>
      </c>
      <c r="F132">
        <v>5.9</v>
      </c>
      <c r="G132">
        <v>33174</v>
      </c>
      <c r="H132">
        <v>-20</v>
      </c>
      <c r="I132" t="s">
        <v>644</v>
      </c>
      <c r="J132" t="s">
        <v>661</v>
      </c>
    </row>
    <row r="133" spans="1:10">
      <c r="A133" s="73">
        <v>45572</v>
      </c>
      <c r="B133" t="s">
        <v>14</v>
      </c>
      <c r="C133">
        <v>437</v>
      </c>
      <c r="D133">
        <v>330</v>
      </c>
      <c r="E133">
        <v>476486</v>
      </c>
      <c r="F133">
        <v>4.97</v>
      </c>
      <c r="G133">
        <v>4509</v>
      </c>
      <c r="H133">
        <v>107</v>
      </c>
      <c r="I133" t="s">
        <v>644</v>
      </c>
      <c r="J133" t="s">
        <v>662</v>
      </c>
    </row>
    <row r="134" spans="1:10">
      <c r="A134" s="73">
        <v>45565</v>
      </c>
      <c r="B134" t="s">
        <v>14</v>
      </c>
      <c r="C134">
        <v>752</v>
      </c>
      <c r="D134">
        <v>153</v>
      </c>
      <c r="E134">
        <v>64906</v>
      </c>
      <c r="F134">
        <v>2.09</v>
      </c>
      <c r="G134">
        <v>12148</v>
      </c>
      <c r="H134">
        <v>599</v>
      </c>
      <c r="I134" t="s">
        <v>645</v>
      </c>
      <c r="J134" t="s">
        <v>663</v>
      </c>
    </row>
    <row r="135" spans="1:10">
      <c r="A135" s="73">
        <v>45558</v>
      </c>
      <c r="B135" t="s">
        <v>14</v>
      </c>
      <c r="C135">
        <v>1911</v>
      </c>
      <c r="D135">
        <v>231</v>
      </c>
      <c r="E135">
        <v>268516</v>
      </c>
      <c r="F135">
        <v>8.5500000000000007</v>
      </c>
      <c r="G135">
        <v>24018</v>
      </c>
      <c r="H135">
        <v>1680</v>
      </c>
      <c r="I135" t="s">
        <v>645</v>
      </c>
      <c r="J135" t="s">
        <v>664</v>
      </c>
    </row>
    <row r="136" spans="1:10">
      <c r="A136" s="73">
        <v>45551</v>
      </c>
      <c r="B136" t="s">
        <v>14</v>
      </c>
      <c r="C136">
        <v>1472</v>
      </c>
      <c r="D136">
        <v>347</v>
      </c>
      <c r="E136">
        <v>392355</v>
      </c>
      <c r="F136">
        <v>8.59</v>
      </c>
      <c r="G136">
        <v>30270</v>
      </c>
      <c r="H136">
        <v>1125</v>
      </c>
      <c r="I136" t="s">
        <v>645</v>
      </c>
      <c r="J136" t="s">
        <v>665</v>
      </c>
    </row>
    <row r="137" spans="1:10">
      <c r="A137" s="73">
        <v>45544</v>
      </c>
      <c r="B137" t="s">
        <v>14</v>
      </c>
      <c r="C137">
        <v>751</v>
      </c>
      <c r="D137">
        <v>491</v>
      </c>
      <c r="E137">
        <v>434047</v>
      </c>
      <c r="F137">
        <v>9.24</v>
      </c>
      <c r="G137">
        <v>15476</v>
      </c>
      <c r="H137">
        <v>260</v>
      </c>
      <c r="I137" t="s">
        <v>645</v>
      </c>
      <c r="J137" t="s">
        <v>84</v>
      </c>
    </row>
    <row r="138" spans="1:10">
      <c r="A138" s="73">
        <v>45537</v>
      </c>
      <c r="B138" t="s">
        <v>14</v>
      </c>
      <c r="C138">
        <v>557</v>
      </c>
      <c r="D138">
        <v>360</v>
      </c>
      <c r="E138">
        <v>318779</v>
      </c>
      <c r="F138">
        <v>8.02</v>
      </c>
      <c r="G138">
        <v>25797</v>
      </c>
      <c r="H138">
        <v>197</v>
      </c>
      <c r="I138" t="s">
        <v>645</v>
      </c>
      <c r="J138" t="s">
        <v>191</v>
      </c>
    </row>
    <row r="139" spans="1:10">
      <c r="A139" s="73">
        <v>45530</v>
      </c>
      <c r="B139" t="s">
        <v>14</v>
      </c>
      <c r="C139">
        <v>1300</v>
      </c>
      <c r="D139">
        <v>71</v>
      </c>
      <c r="E139">
        <v>186454</v>
      </c>
      <c r="F139">
        <v>3.91</v>
      </c>
      <c r="G139">
        <v>9942</v>
      </c>
      <c r="H139">
        <v>1229</v>
      </c>
      <c r="I139" t="s">
        <v>646</v>
      </c>
      <c r="J139" t="s">
        <v>73</v>
      </c>
    </row>
    <row r="140" spans="1:10">
      <c r="A140" s="73">
        <v>45523</v>
      </c>
      <c r="B140" t="s">
        <v>14</v>
      </c>
      <c r="C140">
        <v>1751</v>
      </c>
      <c r="D140">
        <v>86</v>
      </c>
      <c r="E140">
        <v>188655</v>
      </c>
      <c r="F140">
        <v>7.24</v>
      </c>
      <c r="G140">
        <v>22206</v>
      </c>
      <c r="H140">
        <v>1665</v>
      </c>
      <c r="I140" t="s">
        <v>646</v>
      </c>
      <c r="J140" t="s">
        <v>79</v>
      </c>
    </row>
    <row r="141" spans="1:10">
      <c r="A141" s="73">
        <v>45516</v>
      </c>
      <c r="B141" t="s">
        <v>14</v>
      </c>
      <c r="C141">
        <v>485</v>
      </c>
      <c r="D141">
        <v>448</v>
      </c>
      <c r="E141">
        <v>434883</v>
      </c>
      <c r="F141">
        <v>8.5500000000000007</v>
      </c>
      <c r="G141">
        <v>33258</v>
      </c>
      <c r="H141">
        <v>37</v>
      </c>
      <c r="I141" t="s">
        <v>646</v>
      </c>
      <c r="J141" t="s">
        <v>32</v>
      </c>
    </row>
    <row r="142" spans="1:10">
      <c r="A142" s="73">
        <v>45509</v>
      </c>
      <c r="B142" t="s">
        <v>14</v>
      </c>
      <c r="C142">
        <v>826</v>
      </c>
      <c r="D142">
        <v>498</v>
      </c>
      <c r="E142">
        <v>449994</v>
      </c>
      <c r="F142">
        <v>9.43</v>
      </c>
      <c r="G142">
        <v>12384</v>
      </c>
      <c r="H142">
        <v>328</v>
      </c>
      <c r="I142" t="s">
        <v>646</v>
      </c>
      <c r="J142" t="s">
        <v>491</v>
      </c>
    </row>
    <row r="143" spans="1:10">
      <c r="A143" s="73">
        <v>45502</v>
      </c>
      <c r="B143" t="s">
        <v>14</v>
      </c>
      <c r="C143">
        <v>1756</v>
      </c>
      <c r="D143">
        <v>261</v>
      </c>
      <c r="E143">
        <v>287574</v>
      </c>
      <c r="F143">
        <v>4.3600000000000003</v>
      </c>
      <c r="G143">
        <v>39272</v>
      </c>
      <c r="H143">
        <v>1495</v>
      </c>
      <c r="I143" t="s">
        <v>647</v>
      </c>
      <c r="J143" t="s">
        <v>263</v>
      </c>
    </row>
    <row r="144" spans="1:10">
      <c r="A144" s="73">
        <v>45495</v>
      </c>
      <c r="B144" t="s">
        <v>14</v>
      </c>
      <c r="C144">
        <v>1701</v>
      </c>
      <c r="D144">
        <v>385</v>
      </c>
      <c r="E144">
        <v>198278</v>
      </c>
      <c r="F144">
        <v>5.34</v>
      </c>
      <c r="G144">
        <v>32763</v>
      </c>
      <c r="H144">
        <v>1316</v>
      </c>
      <c r="I144" t="s">
        <v>647</v>
      </c>
      <c r="J144" t="s">
        <v>666</v>
      </c>
    </row>
    <row r="145" spans="1:10">
      <c r="A145" s="73">
        <v>45488</v>
      </c>
      <c r="B145" t="s">
        <v>14</v>
      </c>
      <c r="C145">
        <v>704</v>
      </c>
      <c r="D145">
        <v>275</v>
      </c>
      <c r="E145">
        <v>226002</v>
      </c>
      <c r="F145">
        <v>8.56</v>
      </c>
      <c r="G145">
        <v>32393</v>
      </c>
      <c r="H145">
        <v>429</v>
      </c>
      <c r="I145" t="s">
        <v>647</v>
      </c>
      <c r="J145" t="s">
        <v>312</v>
      </c>
    </row>
    <row r="146" spans="1:10">
      <c r="A146" s="73">
        <v>45481</v>
      </c>
      <c r="B146" t="s">
        <v>14</v>
      </c>
      <c r="C146">
        <v>987</v>
      </c>
      <c r="D146">
        <v>440</v>
      </c>
      <c r="E146">
        <v>389810</v>
      </c>
      <c r="F146">
        <v>4.66</v>
      </c>
      <c r="G146">
        <v>2932</v>
      </c>
      <c r="H146">
        <v>547</v>
      </c>
      <c r="I146" t="s">
        <v>647</v>
      </c>
      <c r="J146" t="s">
        <v>667</v>
      </c>
    </row>
    <row r="147" spans="1:10">
      <c r="A147" s="73">
        <v>45474</v>
      </c>
      <c r="B147" t="s">
        <v>14</v>
      </c>
      <c r="C147">
        <v>1420</v>
      </c>
      <c r="D147">
        <v>63</v>
      </c>
      <c r="E147">
        <v>315305</v>
      </c>
      <c r="F147">
        <v>6.19</v>
      </c>
      <c r="G147">
        <v>5914</v>
      </c>
      <c r="H147">
        <v>1357</v>
      </c>
      <c r="I147" t="s">
        <v>647</v>
      </c>
      <c r="J147" t="s">
        <v>448</v>
      </c>
    </row>
    <row r="148" spans="1:10">
      <c r="A148" s="73">
        <v>45467</v>
      </c>
      <c r="B148" t="s">
        <v>14</v>
      </c>
      <c r="C148">
        <v>1238</v>
      </c>
      <c r="D148">
        <v>403</v>
      </c>
      <c r="E148">
        <v>298421</v>
      </c>
      <c r="F148">
        <v>3.5</v>
      </c>
      <c r="G148">
        <v>31280</v>
      </c>
      <c r="H148">
        <v>835</v>
      </c>
      <c r="I148" t="s">
        <v>648</v>
      </c>
      <c r="J148" t="s">
        <v>46</v>
      </c>
    </row>
    <row r="149" spans="1:10">
      <c r="A149" s="73">
        <v>45460</v>
      </c>
      <c r="B149" t="s">
        <v>14</v>
      </c>
      <c r="C149">
        <v>1335</v>
      </c>
      <c r="D149">
        <v>40</v>
      </c>
      <c r="E149">
        <v>122732</v>
      </c>
      <c r="F149">
        <v>8.19</v>
      </c>
      <c r="G149">
        <v>22482</v>
      </c>
      <c r="H149">
        <v>1295</v>
      </c>
      <c r="I149" t="s">
        <v>648</v>
      </c>
      <c r="J149" t="s">
        <v>159</v>
      </c>
    </row>
    <row r="150" spans="1:10">
      <c r="A150" s="73">
        <v>45453</v>
      </c>
      <c r="B150" t="s">
        <v>14</v>
      </c>
      <c r="C150">
        <v>436</v>
      </c>
      <c r="D150">
        <v>250</v>
      </c>
      <c r="E150">
        <v>254347</v>
      </c>
      <c r="F150">
        <v>4.01</v>
      </c>
      <c r="G150">
        <v>8912</v>
      </c>
      <c r="H150">
        <v>186</v>
      </c>
      <c r="I150" t="s">
        <v>648</v>
      </c>
      <c r="J150" t="s">
        <v>148</v>
      </c>
    </row>
    <row r="151" spans="1:10">
      <c r="A151" s="73">
        <v>45446</v>
      </c>
      <c r="B151" t="s">
        <v>14</v>
      </c>
      <c r="C151">
        <v>584</v>
      </c>
      <c r="D151">
        <v>169</v>
      </c>
      <c r="E151">
        <v>146834</v>
      </c>
      <c r="F151">
        <v>8.31</v>
      </c>
      <c r="G151">
        <v>26752</v>
      </c>
      <c r="H151">
        <v>415</v>
      </c>
      <c r="I151" t="s">
        <v>648</v>
      </c>
      <c r="J151" t="s">
        <v>227</v>
      </c>
    </row>
    <row r="152" spans="1:10">
      <c r="A152" s="73">
        <v>45789</v>
      </c>
      <c r="B152" t="s">
        <v>27</v>
      </c>
      <c r="C152">
        <v>119</v>
      </c>
      <c r="D152">
        <v>456</v>
      </c>
      <c r="E152">
        <v>82558</v>
      </c>
      <c r="F152">
        <v>6.81</v>
      </c>
      <c r="G152">
        <v>12174</v>
      </c>
      <c r="H152">
        <v>-337</v>
      </c>
      <c r="I152" t="s">
        <v>637</v>
      </c>
      <c r="J152" t="s">
        <v>28</v>
      </c>
    </row>
    <row r="153" spans="1:10">
      <c r="A153" s="73">
        <v>45782</v>
      </c>
      <c r="B153" t="s">
        <v>27</v>
      </c>
      <c r="C153">
        <v>1035</v>
      </c>
      <c r="D153">
        <v>171</v>
      </c>
      <c r="E153">
        <v>148477</v>
      </c>
      <c r="F153">
        <v>5.21</v>
      </c>
      <c r="G153">
        <v>7541</v>
      </c>
      <c r="H153">
        <v>864</v>
      </c>
      <c r="I153" t="s">
        <v>637</v>
      </c>
      <c r="J153" t="s">
        <v>76</v>
      </c>
    </row>
    <row r="154" spans="1:10">
      <c r="A154" s="73">
        <v>45775</v>
      </c>
      <c r="B154" t="s">
        <v>27</v>
      </c>
      <c r="C154">
        <v>777</v>
      </c>
      <c r="D154">
        <v>140</v>
      </c>
      <c r="E154">
        <v>11435</v>
      </c>
      <c r="F154">
        <v>1.6</v>
      </c>
      <c r="G154">
        <v>6832</v>
      </c>
      <c r="H154">
        <v>637</v>
      </c>
      <c r="I154" t="s">
        <v>638</v>
      </c>
      <c r="J154" t="s">
        <v>359</v>
      </c>
    </row>
    <row r="155" spans="1:10">
      <c r="A155" s="73">
        <v>45768</v>
      </c>
      <c r="B155" t="s">
        <v>27</v>
      </c>
      <c r="C155">
        <v>1707</v>
      </c>
      <c r="D155">
        <v>74</v>
      </c>
      <c r="E155">
        <v>270958</v>
      </c>
      <c r="F155">
        <v>3.09</v>
      </c>
      <c r="G155">
        <v>14090</v>
      </c>
      <c r="H155">
        <v>1633</v>
      </c>
      <c r="I155" t="s">
        <v>638</v>
      </c>
      <c r="J155" t="s">
        <v>650</v>
      </c>
    </row>
    <row r="156" spans="1:10">
      <c r="A156" s="73">
        <v>45761</v>
      </c>
      <c r="B156" t="s">
        <v>27</v>
      </c>
      <c r="C156">
        <v>520</v>
      </c>
      <c r="D156">
        <v>375</v>
      </c>
      <c r="E156">
        <v>369525</v>
      </c>
      <c r="F156">
        <v>6.54</v>
      </c>
      <c r="G156">
        <v>20733</v>
      </c>
      <c r="H156">
        <v>145</v>
      </c>
      <c r="I156" t="s">
        <v>638</v>
      </c>
      <c r="J156" t="s">
        <v>651</v>
      </c>
    </row>
    <row r="157" spans="1:10">
      <c r="A157" s="73">
        <v>45754</v>
      </c>
      <c r="B157" t="s">
        <v>27</v>
      </c>
      <c r="C157">
        <v>623</v>
      </c>
      <c r="D157">
        <v>414</v>
      </c>
      <c r="E157">
        <v>290354</v>
      </c>
      <c r="F157">
        <v>6.49</v>
      </c>
      <c r="G157">
        <v>39923</v>
      </c>
      <c r="H157">
        <v>209</v>
      </c>
      <c r="I157" t="s">
        <v>638</v>
      </c>
      <c r="J157" t="s">
        <v>407</v>
      </c>
    </row>
    <row r="158" spans="1:10">
      <c r="A158" s="73">
        <v>45747</v>
      </c>
      <c r="B158" t="s">
        <v>27</v>
      </c>
      <c r="C158">
        <v>1957</v>
      </c>
      <c r="D158">
        <v>490</v>
      </c>
      <c r="E158">
        <v>435726</v>
      </c>
      <c r="F158">
        <v>4.7300000000000004</v>
      </c>
      <c r="G158">
        <v>15969</v>
      </c>
      <c r="H158">
        <v>1467</v>
      </c>
      <c r="I158" t="s">
        <v>639</v>
      </c>
      <c r="J158" t="s">
        <v>652</v>
      </c>
    </row>
    <row r="159" spans="1:10">
      <c r="A159" s="73">
        <v>45740</v>
      </c>
      <c r="B159" t="s">
        <v>27</v>
      </c>
      <c r="C159">
        <v>442</v>
      </c>
      <c r="D159">
        <v>53</v>
      </c>
      <c r="E159">
        <v>441931</v>
      </c>
      <c r="F159">
        <v>1.87</v>
      </c>
      <c r="G159">
        <v>20059</v>
      </c>
      <c r="H159">
        <v>389</v>
      </c>
      <c r="I159" t="s">
        <v>639</v>
      </c>
      <c r="J159" t="s">
        <v>229</v>
      </c>
    </row>
    <row r="160" spans="1:10">
      <c r="A160" s="73">
        <v>45733</v>
      </c>
      <c r="B160" t="s">
        <v>27</v>
      </c>
      <c r="C160">
        <v>1596</v>
      </c>
      <c r="D160">
        <v>211</v>
      </c>
      <c r="E160">
        <v>17380</v>
      </c>
      <c r="F160">
        <v>8.64</v>
      </c>
      <c r="G160">
        <v>35801</v>
      </c>
      <c r="H160">
        <v>1385</v>
      </c>
      <c r="I160" t="s">
        <v>639</v>
      </c>
      <c r="J160" t="s">
        <v>653</v>
      </c>
    </row>
    <row r="161" spans="1:10">
      <c r="A161" s="73">
        <v>45726</v>
      </c>
      <c r="B161" t="s">
        <v>27</v>
      </c>
      <c r="C161">
        <v>1658</v>
      </c>
      <c r="D161">
        <v>416</v>
      </c>
      <c r="E161">
        <v>98397</v>
      </c>
      <c r="F161">
        <v>6.11</v>
      </c>
      <c r="G161">
        <v>11383</v>
      </c>
      <c r="H161">
        <v>1242</v>
      </c>
      <c r="I161" t="s">
        <v>639</v>
      </c>
      <c r="J161" t="s">
        <v>654</v>
      </c>
    </row>
    <row r="162" spans="1:10">
      <c r="A162" s="73">
        <v>45719</v>
      </c>
      <c r="B162" t="s">
        <v>27</v>
      </c>
      <c r="C162">
        <v>510</v>
      </c>
      <c r="D162">
        <v>195</v>
      </c>
      <c r="E162">
        <v>224534</v>
      </c>
      <c r="F162">
        <v>9.4</v>
      </c>
      <c r="G162">
        <v>30987</v>
      </c>
      <c r="H162">
        <v>315</v>
      </c>
      <c r="I162" t="s">
        <v>639</v>
      </c>
      <c r="J162" t="s">
        <v>193</v>
      </c>
    </row>
    <row r="163" spans="1:10">
      <c r="A163" s="73">
        <v>45712</v>
      </c>
      <c r="B163" t="s">
        <v>27</v>
      </c>
      <c r="C163">
        <v>1063</v>
      </c>
      <c r="D163">
        <v>47</v>
      </c>
      <c r="E163">
        <v>464239</v>
      </c>
      <c r="F163">
        <v>6.58</v>
      </c>
      <c r="G163">
        <v>39031</v>
      </c>
      <c r="H163">
        <v>1016</v>
      </c>
      <c r="I163" t="s">
        <v>640</v>
      </c>
      <c r="J163" t="s">
        <v>143</v>
      </c>
    </row>
    <row r="164" spans="1:10">
      <c r="A164" s="73">
        <v>45705</v>
      </c>
      <c r="B164" t="s">
        <v>27</v>
      </c>
      <c r="C164">
        <v>1662</v>
      </c>
      <c r="D164">
        <v>487</v>
      </c>
      <c r="E164">
        <v>105980</v>
      </c>
      <c r="F164">
        <v>9.08</v>
      </c>
      <c r="G164">
        <v>22996</v>
      </c>
      <c r="H164">
        <v>1175</v>
      </c>
      <c r="I164" t="s">
        <v>640</v>
      </c>
      <c r="J164" t="s">
        <v>124</v>
      </c>
    </row>
    <row r="165" spans="1:10">
      <c r="A165" s="73">
        <v>45698</v>
      </c>
      <c r="B165" t="s">
        <v>27</v>
      </c>
      <c r="C165">
        <v>1707</v>
      </c>
      <c r="D165">
        <v>263</v>
      </c>
      <c r="E165">
        <v>485280</v>
      </c>
      <c r="F165">
        <v>9.0299999999999994</v>
      </c>
      <c r="G165">
        <v>24494</v>
      </c>
      <c r="H165">
        <v>1444</v>
      </c>
      <c r="I165" t="s">
        <v>640</v>
      </c>
      <c r="J165" t="s">
        <v>244</v>
      </c>
    </row>
    <row r="166" spans="1:10">
      <c r="A166" s="73">
        <v>45691</v>
      </c>
      <c r="B166" t="s">
        <v>27</v>
      </c>
      <c r="C166">
        <v>152</v>
      </c>
      <c r="D166">
        <v>355</v>
      </c>
      <c r="E166">
        <v>270766</v>
      </c>
      <c r="F166">
        <v>9.48</v>
      </c>
      <c r="G166">
        <v>18001</v>
      </c>
      <c r="H166">
        <v>-203</v>
      </c>
      <c r="I166" t="s">
        <v>640</v>
      </c>
      <c r="J166" t="s">
        <v>655</v>
      </c>
    </row>
    <row r="167" spans="1:10">
      <c r="A167" s="73">
        <v>45684</v>
      </c>
      <c r="B167" t="s">
        <v>27</v>
      </c>
      <c r="C167">
        <v>1411</v>
      </c>
      <c r="D167">
        <v>186</v>
      </c>
      <c r="E167">
        <v>461669</v>
      </c>
      <c r="F167">
        <v>3.72</v>
      </c>
      <c r="G167">
        <v>43999</v>
      </c>
      <c r="H167">
        <v>1225</v>
      </c>
      <c r="I167" t="s">
        <v>641</v>
      </c>
      <c r="J167" t="s">
        <v>219</v>
      </c>
    </row>
    <row r="168" spans="1:10">
      <c r="A168" s="73">
        <v>45677</v>
      </c>
      <c r="B168" t="s">
        <v>27</v>
      </c>
      <c r="C168">
        <v>1166</v>
      </c>
      <c r="D168">
        <v>442</v>
      </c>
      <c r="E168">
        <v>336949</v>
      </c>
      <c r="F168">
        <v>4.68</v>
      </c>
      <c r="G168">
        <v>7705</v>
      </c>
      <c r="H168">
        <v>724</v>
      </c>
      <c r="I168" t="s">
        <v>641</v>
      </c>
      <c r="J168" t="s">
        <v>656</v>
      </c>
    </row>
    <row r="169" spans="1:10">
      <c r="A169" s="73">
        <v>45670</v>
      </c>
      <c r="B169" t="s">
        <v>27</v>
      </c>
      <c r="C169">
        <v>1331</v>
      </c>
      <c r="D169">
        <v>430</v>
      </c>
      <c r="E169">
        <v>14437</v>
      </c>
      <c r="F169">
        <v>3.29</v>
      </c>
      <c r="G169">
        <v>40868</v>
      </c>
      <c r="H169">
        <v>901</v>
      </c>
      <c r="I169" t="s">
        <v>641</v>
      </c>
      <c r="J169" t="s">
        <v>657</v>
      </c>
    </row>
    <row r="170" spans="1:10">
      <c r="A170" s="73">
        <v>45663</v>
      </c>
      <c r="B170" t="s">
        <v>27</v>
      </c>
      <c r="C170">
        <v>891</v>
      </c>
      <c r="D170">
        <v>45</v>
      </c>
      <c r="E170">
        <v>95410</v>
      </c>
      <c r="F170">
        <v>8.33</v>
      </c>
      <c r="G170">
        <v>15045</v>
      </c>
      <c r="H170">
        <v>846</v>
      </c>
      <c r="I170" t="s">
        <v>641</v>
      </c>
      <c r="J170" t="s">
        <v>122</v>
      </c>
    </row>
    <row r="171" spans="1:10">
      <c r="A171" s="73">
        <v>45656</v>
      </c>
      <c r="B171" t="s">
        <v>27</v>
      </c>
      <c r="C171">
        <v>1495</v>
      </c>
      <c r="D171">
        <v>35</v>
      </c>
      <c r="E171">
        <v>136845</v>
      </c>
      <c r="F171">
        <v>4.4800000000000004</v>
      </c>
      <c r="G171">
        <v>39931</v>
      </c>
      <c r="H171">
        <v>1460</v>
      </c>
      <c r="I171" t="s">
        <v>642</v>
      </c>
      <c r="J171" t="s">
        <v>658</v>
      </c>
    </row>
    <row r="172" spans="1:10">
      <c r="A172" s="73">
        <v>45649</v>
      </c>
      <c r="B172" t="s">
        <v>27</v>
      </c>
      <c r="C172">
        <v>1900</v>
      </c>
      <c r="D172">
        <v>311</v>
      </c>
      <c r="E172">
        <v>25177</v>
      </c>
      <c r="F172">
        <v>2.89</v>
      </c>
      <c r="G172">
        <v>14154</v>
      </c>
      <c r="H172">
        <v>1589</v>
      </c>
      <c r="I172" t="s">
        <v>642</v>
      </c>
      <c r="J172" t="s">
        <v>15</v>
      </c>
    </row>
    <row r="173" spans="1:10">
      <c r="A173" s="73">
        <v>45642</v>
      </c>
      <c r="B173" t="s">
        <v>27</v>
      </c>
      <c r="C173">
        <v>1004</v>
      </c>
      <c r="D173">
        <v>128</v>
      </c>
      <c r="E173">
        <v>488901</v>
      </c>
      <c r="F173">
        <v>8.09</v>
      </c>
      <c r="G173">
        <v>49558</v>
      </c>
      <c r="H173">
        <v>876</v>
      </c>
      <c r="I173" t="s">
        <v>642</v>
      </c>
      <c r="J173" t="s">
        <v>109</v>
      </c>
    </row>
    <row r="174" spans="1:10">
      <c r="A174" s="73">
        <v>45635</v>
      </c>
      <c r="B174" t="s">
        <v>27</v>
      </c>
      <c r="C174">
        <v>736</v>
      </c>
      <c r="D174">
        <v>163</v>
      </c>
      <c r="E174">
        <v>451894</v>
      </c>
      <c r="F174">
        <v>5.43</v>
      </c>
      <c r="G174">
        <v>46625</v>
      </c>
      <c r="H174">
        <v>573</v>
      </c>
      <c r="I174" t="s">
        <v>642</v>
      </c>
      <c r="J174" t="s">
        <v>216</v>
      </c>
    </row>
    <row r="175" spans="1:10">
      <c r="A175" s="73">
        <v>45628</v>
      </c>
      <c r="B175" t="s">
        <v>27</v>
      </c>
      <c r="C175">
        <v>452</v>
      </c>
      <c r="D175">
        <v>161</v>
      </c>
      <c r="E175">
        <v>221274</v>
      </c>
      <c r="F175">
        <v>2.65</v>
      </c>
      <c r="G175">
        <v>40888</v>
      </c>
      <c r="H175">
        <v>291</v>
      </c>
      <c r="I175" t="s">
        <v>642</v>
      </c>
      <c r="J175" t="s">
        <v>659</v>
      </c>
    </row>
    <row r="176" spans="1:10">
      <c r="A176" s="73">
        <v>45621</v>
      </c>
      <c r="B176" t="s">
        <v>27</v>
      </c>
      <c r="C176">
        <v>1293</v>
      </c>
      <c r="D176">
        <v>408</v>
      </c>
      <c r="E176">
        <v>62535</v>
      </c>
      <c r="F176">
        <v>8.9</v>
      </c>
      <c r="G176">
        <v>37876</v>
      </c>
      <c r="H176">
        <v>885</v>
      </c>
      <c r="I176" t="s">
        <v>643</v>
      </c>
      <c r="J176" t="s">
        <v>126</v>
      </c>
    </row>
    <row r="177" spans="1:10">
      <c r="A177" s="73">
        <v>45614</v>
      </c>
      <c r="B177" t="s">
        <v>27</v>
      </c>
      <c r="C177">
        <v>278</v>
      </c>
      <c r="D177">
        <v>218</v>
      </c>
      <c r="E177">
        <v>301695</v>
      </c>
      <c r="F177">
        <v>4.68</v>
      </c>
      <c r="G177">
        <v>22373</v>
      </c>
      <c r="H177">
        <v>60</v>
      </c>
      <c r="I177" t="s">
        <v>643</v>
      </c>
      <c r="J177" t="s">
        <v>63</v>
      </c>
    </row>
    <row r="178" spans="1:10">
      <c r="A178" s="73">
        <v>45607</v>
      </c>
      <c r="B178" t="s">
        <v>27</v>
      </c>
      <c r="C178">
        <v>454</v>
      </c>
      <c r="D178">
        <v>105</v>
      </c>
      <c r="E178">
        <v>121091</v>
      </c>
      <c r="F178">
        <v>7.97</v>
      </c>
      <c r="G178">
        <v>9269</v>
      </c>
      <c r="H178">
        <v>349</v>
      </c>
      <c r="I178" t="s">
        <v>643</v>
      </c>
      <c r="J178" t="s">
        <v>660</v>
      </c>
    </row>
    <row r="179" spans="1:10">
      <c r="A179" s="73">
        <v>45600</v>
      </c>
      <c r="B179" t="s">
        <v>27</v>
      </c>
      <c r="C179">
        <v>1507</v>
      </c>
      <c r="D179">
        <v>463</v>
      </c>
      <c r="E179">
        <v>258944</v>
      </c>
      <c r="F179">
        <v>6.08</v>
      </c>
      <c r="G179">
        <v>16443</v>
      </c>
      <c r="H179">
        <v>1044</v>
      </c>
      <c r="I179" t="s">
        <v>643</v>
      </c>
      <c r="J179" t="s">
        <v>278</v>
      </c>
    </row>
    <row r="180" spans="1:10">
      <c r="A180" s="73">
        <v>45593</v>
      </c>
      <c r="B180" t="s">
        <v>27</v>
      </c>
      <c r="C180">
        <v>1814</v>
      </c>
      <c r="D180">
        <v>157</v>
      </c>
      <c r="E180">
        <v>305827</v>
      </c>
      <c r="F180">
        <v>1.99</v>
      </c>
      <c r="G180">
        <v>46643</v>
      </c>
      <c r="H180">
        <v>1657</v>
      </c>
      <c r="I180" t="s">
        <v>644</v>
      </c>
      <c r="J180" t="s">
        <v>197</v>
      </c>
    </row>
    <row r="181" spans="1:10">
      <c r="A181" s="73">
        <v>45586</v>
      </c>
      <c r="B181" t="s">
        <v>27</v>
      </c>
      <c r="C181">
        <v>1707</v>
      </c>
      <c r="D181">
        <v>223</v>
      </c>
      <c r="E181">
        <v>256910</v>
      </c>
      <c r="F181">
        <v>5.41</v>
      </c>
      <c r="G181">
        <v>44321</v>
      </c>
      <c r="H181">
        <v>1484</v>
      </c>
      <c r="I181" t="s">
        <v>644</v>
      </c>
      <c r="J181" t="s">
        <v>164</v>
      </c>
    </row>
    <row r="182" spans="1:10">
      <c r="A182" s="73">
        <v>45579</v>
      </c>
      <c r="B182" t="s">
        <v>27</v>
      </c>
      <c r="C182">
        <v>414</v>
      </c>
      <c r="D182">
        <v>47</v>
      </c>
      <c r="E182">
        <v>199178</v>
      </c>
      <c r="F182">
        <v>1.53</v>
      </c>
      <c r="G182">
        <v>6742</v>
      </c>
      <c r="H182">
        <v>367</v>
      </c>
      <c r="I182" t="s">
        <v>644</v>
      </c>
      <c r="J182" t="s">
        <v>661</v>
      </c>
    </row>
    <row r="183" spans="1:10">
      <c r="A183" s="73">
        <v>45572</v>
      </c>
      <c r="B183" t="s">
        <v>27</v>
      </c>
      <c r="C183">
        <v>307</v>
      </c>
      <c r="D183">
        <v>189</v>
      </c>
      <c r="E183">
        <v>117767</v>
      </c>
      <c r="F183">
        <v>9.3000000000000007</v>
      </c>
      <c r="G183">
        <v>27822</v>
      </c>
      <c r="H183">
        <v>118</v>
      </c>
      <c r="I183" t="s">
        <v>644</v>
      </c>
      <c r="J183" t="s">
        <v>662</v>
      </c>
    </row>
    <row r="184" spans="1:10">
      <c r="A184" s="73">
        <v>45565</v>
      </c>
      <c r="B184" t="s">
        <v>27</v>
      </c>
      <c r="C184">
        <v>1918</v>
      </c>
      <c r="D184">
        <v>212</v>
      </c>
      <c r="E184">
        <v>94360</v>
      </c>
      <c r="F184">
        <v>7.36</v>
      </c>
      <c r="G184">
        <v>36851</v>
      </c>
      <c r="H184">
        <v>1706</v>
      </c>
      <c r="I184" t="s">
        <v>645</v>
      </c>
      <c r="J184" t="s">
        <v>663</v>
      </c>
    </row>
    <row r="185" spans="1:10">
      <c r="A185" s="73">
        <v>45558</v>
      </c>
      <c r="B185" t="s">
        <v>27</v>
      </c>
      <c r="C185">
        <v>1218</v>
      </c>
      <c r="D185">
        <v>212</v>
      </c>
      <c r="E185">
        <v>63177</v>
      </c>
      <c r="F185">
        <v>8.1300000000000008</v>
      </c>
      <c r="G185">
        <v>38883</v>
      </c>
      <c r="H185">
        <v>1006</v>
      </c>
      <c r="I185" t="s">
        <v>645</v>
      </c>
      <c r="J185" t="s">
        <v>664</v>
      </c>
    </row>
    <row r="186" spans="1:10">
      <c r="A186" s="73">
        <v>45551</v>
      </c>
      <c r="B186" t="s">
        <v>27</v>
      </c>
      <c r="C186">
        <v>123</v>
      </c>
      <c r="D186">
        <v>155</v>
      </c>
      <c r="E186">
        <v>119934</v>
      </c>
      <c r="F186">
        <v>3.5</v>
      </c>
      <c r="G186">
        <v>5442</v>
      </c>
      <c r="H186">
        <v>-32</v>
      </c>
      <c r="I186" t="s">
        <v>645</v>
      </c>
      <c r="J186" t="s">
        <v>665</v>
      </c>
    </row>
    <row r="187" spans="1:10">
      <c r="A187" s="73">
        <v>45544</v>
      </c>
      <c r="B187" t="s">
        <v>27</v>
      </c>
      <c r="C187">
        <v>1409</v>
      </c>
      <c r="D187">
        <v>309</v>
      </c>
      <c r="E187">
        <v>64583</v>
      </c>
      <c r="F187">
        <v>8.99</v>
      </c>
      <c r="G187">
        <v>10217</v>
      </c>
      <c r="H187">
        <v>1100</v>
      </c>
      <c r="I187" t="s">
        <v>645</v>
      </c>
      <c r="J187" t="s">
        <v>84</v>
      </c>
    </row>
    <row r="188" spans="1:10">
      <c r="A188" s="73">
        <v>45537</v>
      </c>
      <c r="B188" t="s">
        <v>27</v>
      </c>
      <c r="C188">
        <v>728</v>
      </c>
      <c r="D188">
        <v>395</v>
      </c>
      <c r="E188">
        <v>370971</v>
      </c>
      <c r="F188">
        <v>3.86</v>
      </c>
      <c r="G188">
        <v>12646</v>
      </c>
      <c r="H188">
        <v>333</v>
      </c>
      <c r="I188" t="s">
        <v>645</v>
      </c>
      <c r="J188" t="s">
        <v>191</v>
      </c>
    </row>
    <row r="189" spans="1:10">
      <c r="A189" s="73">
        <v>45530</v>
      </c>
      <c r="B189" t="s">
        <v>27</v>
      </c>
      <c r="C189">
        <v>422</v>
      </c>
      <c r="D189">
        <v>394</v>
      </c>
      <c r="E189">
        <v>239044</v>
      </c>
      <c r="F189">
        <v>7.83</v>
      </c>
      <c r="G189">
        <v>32929</v>
      </c>
      <c r="H189">
        <v>28</v>
      </c>
      <c r="I189" t="s">
        <v>646</v>
      </c>
      <c r="J189" t="s">
        <v>73</v>
      </c>
    </row>
    <row r="190" spans="1:10">
      <c r="A190" s="73">
        <v>45523</v>
      </c>
      <c r="B190" t="s">
        <v>27</v>
      </c>
      <c r="C190">
        <v>221</v>
      </c>
      <c r="D190">
        <v>31</v>
      </c>
      <c r="E190">
        <v>87443</v>
      </c>
      <c r="F190">
        <v>6.19</v>
      </c>
      <c r="G190">
        <v>10283</v>
      </c>
      <c r="H190">
        <v>190</v>
      </c>
      <c r="I190" t="s">
        <v>646</v>
      </c>
      <c r="J190" t="s">
        <v>79</v>
      </c>
    </row>
    <row r="191" spans="1:10">
      <c r="A191" s="73">
        <v>45516</v>
      </c>
      <c r="B191" t="s">
        <v>27</v>
      </c>
      <c r="C191">
        <v>1210</v>
      </c>
      <c r="D191">
        <v>178</v>
      </c>
      <c r="E191">
        <v>102042</v>
      </c>
      <c r="F191">
        <v>5.42</v>
      </c>
      <c r="G191">
        <v>6915</v>
      </c>
      <c r="H191">
        <v>1032</v>
      </c>
      <c r="I191" t="s">
        <v>646</v>
      </c>
      <c r="J191" t="s">
        <v>32</v>
      </c>
    </row>
    <row r="192" spans="1:10">
      <c r="A192" s="73">
        <v>45509</v>
      </c>
      <c r="B192" t="s">
        <v>27</v>
      </c>
      <c r="C192">
        <v>460</v>
      </c>
      <c r="D192">
        <v>141</v>
      </c>
      <c r="E192">
        <v>320650</v>
      </c>
      <c r="F192">
        <v>4.04</v>
      </c>
      <c r="G192">
        <v>49372</v>
      </c>
      <c r="H192">
        <v>319</v>
      </c>
      <c r="I192" t="s">
        <v>646</v>
      </c>
      <c r="J192" t="s">
        <v>491</v>
      </c>
    </row>
    <row r="193" spans="1:10">
      <c r="A193" s="73">
        <v>45502</v>
      </c>
      <c r="B193" t="s">
        <v>27</v>
      </c>
      <c r="C193">
        <v>576</v>
      </c>
      <c r="D193">
        <v>101</v>
      </c>
      <c r="E193">
        <v>62499</v>
      </c>
      <c r="F193">
        <v>3.48</v>
      </c>
      <c r="G193">
        <v>16804</v>
      </c>
      <c r="H193">
        <v>475</v>
      </c>
      <c r="I193" t="s">
        <v>647</v>
      </c>
      <c r="J193" t="s">
        <v>263</v>
      </c>
    </row>
    <row r="194" spans="1:10">
      <c r="A194" s="73">
        <v>45495</v>
      </c>
      <c r="B194" t="s">
        <v>27</v>
      </c>
      <c r="C194">
        <v>804</v>
      </c>
      <c r="D194">
        <v>487</v>
      </c>
      <c r="E194">
        <v>306564</v>
      </c>
      <c r="F194">
        <v>5.52</v>
      </c>
      <c r="G194">
        <v>26452</v>
      </c>
      <c r="H194">
        <v>317</v>
      </c>
      <c r="I194" t="s">
        <v>647</v>
      </c>
      <c r="J194" t="s">
        <v>666</v>
      </c>
    </row>
    <row r="195" spans="1:10">
      <c r="A195" s="73">
        <v>45488</v>
      </c>
      <c r="B195" t="s">
        <v>27</v>
      </c>
      <c r="C195">
        <v>224</v>
      </c>
      <c r="D195">
        <v>64</v>
      </c>
      <c r="E195">
        <v>156683</v>
      </c>
      <c r="F195">
        <v>4.5599999999999996</v>
      </c>
      <c r="G195">
        <v>28474</v>
      </c>
      <c r="H195">
        <v>160</v>
      </c>
      <c r="I195" t="s">
        <v>647</v>
      </c>
      <c r="J195" t="s">
        <v>312</v>
      </c>
    </row>
    <row r="196" spans="1:10">
      <c r="A196" s="73">
        <v>45481</v>
      </c>
      <c r="B196" t="s">
        <v>27</v>
      </c>
      <c r="C196">
        <v>883</v>
      </c>
      <c r="D196">
        <v>369</v>
      </c>
      <c r="E196">
        <v>233694</v>
      </c>
      <c r="F196">
        <v>2.88</v>
      </c>
      <c r="G196">
        <v>15071</v>
      </c>
      <c r="H196">
        <v>514</v>
      </c>
      <c r="I196" t="s">
        <v>647</v>
      </c>
      <c r="J196" t="s">
        <v>667</v>
      </c>
    </row>
    <row r="197" spans="1:10">
      <c r="A197" s="73">
        <v>45474</v>
      </c>
      <c r="B197" t="s">
        <v>27</v>
      </c>
      <c r="C197">
        <v>144</v>
      </c>
      <c r="D197">
        <v>53</v>
      </c>
      <c r="E197">
        <v>113678</v>
      </c>
      <c r="F197">
        <v>8.7200000000000006</v>
      </c>
      <c r="G197">
        <v>30060</v>
      </c>
      <c r="H197">
        <v>91</v>
      </c>
      <c r="I197" t="s">
        <v>647</v>
      </c>
      <c r="J197" t="s">
        <v>448</v>
      </c>
    </row>
    <row r="198" spans="1:10">
      <c r="A198" s="73">
        <v>45467</v>
      </c>
      <c r="B198" t="s">
        <v>27</v>
      </c>
      <c r="C198">
        <v>308</v>
      </c>
      <c r="D198">
        <v>431</v>
      </c>
      <c r="E198">
        <v>426184</v>
      </c>
      <c r="F198">
        <v>2.62</v>
      </c>
      <c r="G198">
        <v>1783</v>
      </c>
      <c r="H198">
        <v>-123</v>
      </c>
      <c r="I198" t="s">
        <v>648</v>
      </c>
      <c r="J198" t="s">
        <v>46</v>
      </c>
    </row>
    <row r="199" spans="1:10">
      <c r="A199" s="73">
        <v>45460</v>
      </c>
      <c r="B199" t="s">
        <v>27</v>
      </c>
      <c r="C199">
        <v>403</v>
      </c>
      <c r="D199">
        <v>66</v>
      </c>
      <c r="E199">
        <v>382851</v>
      </c>
      <c r="F199">
        <v>3.49</v>
      </c>
      <c r="G199">
        <v>24313</v>
      </c>
      <c r="H199">
        <v>337</v>
      </c>
      <c r="I199" t="s">
        <v>648</v>
      </c>
      <c r="J199" t="s">
        <v>159</v>
      </c>
    </row>
    <row r="200" spans="1:10">
      <c r="A200" s="73">
        <v>45453</v>
      </c>
      <c r="B200" t="s">
        <v>27</v>
      </c>
      <c r="C200">
        <v>1197</v>
      </c>
      <c r="D200">
        <v>203</v>
      </c>
      <c r="E200">
        <v>413878</v>
      </c>
      <c r="F200">
        <v>3.16</v>
      </c>
      <c r="G200">
        <v>21205</v>
      </c>
      <c r="H200">
        <v>994</v>
      </c>
      <c r="I200" t="s">
        <v>648</v>
      </c>
      <c r="J200" t="s">
        <v>148</v>
      </c>
    </row>
    <row r="201" spans="1:10">
      <c r="A201" s="73">
        <v>45446</v>
      </c>
      <c r="B201" t="s">
        <v>27</v>
      </c>
      <c r="C201">
        <v>1535</v>
      </c>
      <c r="D201">
        <v>445</v>
      </c>
      <c r="E201">
        <v>395536</v>
      </c>
      <c r="F201">
        <v>4.1100000000000003</v>
      </c>
      <c r="G201">
        <v>30671</v>
      </c>
      <c r="H201">
        <v>1090</v>
      </c>
      <c r="I201" t="s">
        <v>648</v>
      </c>
      <c r="J201" t="s">
        <v>227</v>
      </c>
    </row>
  </sheetData>
  <phoneticPr fontId="22" type="noConversion"/>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5EAE-C0E2-4B14-8C42-036557A69FBD}">
  <sheetPr codeName="Sheet8"/>
  <dimension ref="A1:G9"/>
  <sheetViews>
    <sheetView workbookViewId="0">
      <selection activeCell="G2" sqref="G2"/>
    </sheetView>
  </sheetViews>
  <sheetFormatPr defaultRowHeight="14.4"/>
  <cols>
    <col min="1" max="1" width="17.77734375" bestFit="1" customWidth="1"/>
    <col min="2" max="2" width="12.109375" bestFit="1" customWidth="1"/>
    <col min="3" max="3" width="11.33203125" bestFit="1" customWidth="1"/>
    <col min="4" max="4" width="17.77734375" bestFit="1" customWidth="1"/>
    <col min="5" max="5" width="18.33203125" customWidth="1"/>
    <col min="6" max="6" width="22.21875" bestFit="1" customWidth="1"/>
    <col min="7" max="7" width="18.88671875" bestFit="1" customWidth="1"/>
    <col min="8" max="8" width="12.109375" bestFit="1" customWidth="1"/>
    <col min="9" max="9" width="11.33203125" bestFit="1" customWidth="1"/>
    <col min="10" max="10" width="26.33203125" bestFit="1" customWidth="1"/>
    <col min="11" max="11" width="14.44140625" bestFit="1" customWidth="1"/>
    <col min="12" max="12" width="17.77734375" bestFit="1" customWidth="1"/>
    <col min="13" max="13" width="18" bestFit="1" customWidth="1"/>
    <col min="14" max="14" width="11.88671875" bestFit="1" customWidth="1"/>
    <col min="15" max="15" width="20" bestFit="1" customWidth="1"/>
  </cols>
  <sheetData>
    <row r="1" spans="1:7" ht="28.8" customHeight="1">
      <c r="A1" t="s">
        <v>12</v>
      </c>
      <c r="B1" t="s">
        <v>562</v>
      </c>
      <c r="C1" t="s">
        <v>563</v>
      </c>
      <c r="D1" t="s">
        <v>566</v>
      </c>
      <c r="E1" t="s">
        <v>670</v>
      </c>
      <c r="F1" t="s">
        <v>669</v>
      </c>
      <c r="G1" t="s">
        <v>671</v>
      </c>
    </row>
    <row r="2" spans="1:7">
      <c r="A2" t="s">
        <v>55</v>
      </c>
      <c r="B2" s="73">
        <v>45667</v>
      </c>
      <c r="C2" s="73">
        <v>45698</v>
      </c>
      <c r="D2" t="s">
        <v>31</v>
      </c>
      <c r="E2">
        <v>97334</v>
      </c>
      <c r="F2">
        <v>5931</v>
      </c>
      <c r="G2" s="26">
        <v>16.411060529421682</v>
      </c>
    </row>
    <row r="3" spans="1:7">
      <c r="A3" t="s">
        <v>55</v>
      </c>
      <c r="B3" s="73">
        <v>45667</v>
      </c>
      <c r="C3" s="73">
        <v>45698</v>
      </c>
      <c r="D3" t="s">
        <v>14</v>
      </c>
      <c r="E3">
        <v>167951</v>
      </c>
      <c r="F3">
        <v>3944</v>
      </c>
      <c r="G3" s="26">
        <v>42.583924949290058</v>
      </c>
    </row>
    <row r="4" spans="1:7">
      <c r="A4" t="s">
        <v>38</v>
      </c>
      <c r="B4" s="73">
        <v>45570</v>
      </c>
      <c r="C4" s="73">
        <v>45601</v>
      </c>
      <c r="D4" t="s">
        <v>31</v>
      </c>
      <c r="E4">
        <v>159690</v>
      </c>
      <c r="F4">
        <v>5331</v>
      </c>
      <c r="G4" s="26">
        <v>29.954980303882948</v>
      </c>
    </row>
    <row r="5" spans="1:7">
      <c r="A5" t="s">
        <v>38</v>
      </c>
      <c r="B5" s="73">
        <v>45570</v>
      </c>
      <c r="C5" s="73">
        <v>45601</v>
      </c>
      <c r="D5" t="s">
        <v>40</v>
      </c>
      <c r="E5">
        <v>129155</v>
      </c>
      <c r="F5">
        <v>3312</v>
      </c>
      <c r="G5" s="26">
        <v>38.996074879227052</v>
      </c>
    </row>
    <row r="6" spans="1:7">
      <c r="A6" t="s">
        <v>19</v>
      </c>
      <c r="B6" s="73">
        <v>45505</v>
      </c>
      <c r="C6" s="73">
        <v>45535</v>
      </c>
      <c r="D6" t="s">
        <v>31</v>
      </c>
      <c r="E6">
        <v>156818</v>
      </c>
      <c r="F6">
        <v>3362</v>
      </c>
      <c r="G6" s="26">
        <v>46.644259369422961</v>
      </c>
    </row>
    <row r="7" spans="1:7">
      <c r="A7" t="s">
        <v>19</v>
      </c>
      <c r="B7" s="73">
        <v>45505</v>
      </c>
      <c r="C7" s="73">
        <v>45535</v>
      </c>
      <c r="D7" t="s">
        <v>27</v>
      </c>
      <c r="E7">
        <v>99499</v>
      </c>
      <c r="F7">
        <v>1569</v>
      </c>
      <c r="G7" s="26">
        <v>63.415551306564694</v>
      </c>
    </row>
    <row r="8" spans="1:7">
      <c r="A8" t="s">
        <v>25</v>
      </c>
      <c r="B8" s="73">
        <v>45453</v>
      </c>
      <c r="C8" s="73">
        <v>45478</v>
      </c>
      <c r="D8" t="s">
        <v>31</v>
      </c>
      <c r="E8">
        <v>48865</v>
      </c>
      <c r="F8">
        <v>1820</v>
      </c>
      <c r="G8" s="26">
        <v>26.848901098901099</v>
      </c>
    </row>
    <row r="9" spans="1:7">
      <c r="A9" t="s">
        <v>25</v>
      </c>
      <c r="B9" s="73">
        <v>45453</v>
      </c>
      <c r="C9" s="73">
        <v>45478</v>
      </c>
      <c r="D9" t="s">
        <v>40</v>
      </c>
      <c r="E9">
        <v>127536</v>
      </c>
      <c r="F9">
        <v>4399</v>
      </c>
      <c r="G9" s="26">
        <v>28.992043646283246</v>
      </c>
    </row>
  </sheetData>
  <phoneticPr fontId="9"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F7F32-D2D9-480C-950A-866F8527E643}">
  <sheetPr codeName="Sheet9"/>
  <dimension ref="A1:F5"/>
  <sheetViews>
    <sheetView workbookViewId="0">
      <selection activeCell="B29" sqref="B29"/>
    </sheetView>
  </sheetViews>
  <sheetFormatPr defaultRowHeight="14.4"/>
  <cols>
    <col min="1" max="1" width="17.77734375" bestFit="1" customWidth="1"/>
    <col min="2" max="2" width="12.109375" style="22" bestFit="1" customWidth="1"/>
    <col min="3" max="3" width="11.33203125" style="22" bestFit="1" customWidth="1"/>
    <col min="4" max="4" width="26.33203125" bestFit="1" customWidth="1"/>
    <col min="5" max="5" width="14.44140625" bestFit="1" customWidth="1"/>
    <col min="6" max="6" width="17.77734375" bestFit="1" customWidth="1"/>
  </cols>
  <sheetData>
    <row r="1" spans="1:6" ht="24.6" customHeight="1">
      <c r="A1" t="s">
        <v>12</v>
      </c>
      <c r="B1" s="22" t="s">
        <v>562</v>
      </c>
      <c r="C1" s="22" t="s">
        <v>563</v>
      </c>
      <c r="D1" t="s">
        <v>564</v>
      </c>
      <c r="E1" t="s">
        <v>565</v>
      </c>
      <c r="F1" t="s">
        <v>566</v>
      </c>
    </row>
    <row r="2" spans="1:6">
      <c r="A2" t="s">
        <v>25</v>
      </c>
      <c r="B2" s="22">
        <v>45453</v>
      </c>
      <c r="C2" s="22">
        <v>45478</v>
      </c>
      <c r="D2" t="s">
        <v>567</v>
      </c>
      <c r="E2">
        <v>180000</v>
      </c>
      <c r="F2" t="s">
        <v>568</v>
      </c>
    </row>
    <row r="3" spans="1:6">
      <c r="A3" t="s">
        <v>19</v>
      </c>
      <c r="B3" s="22">
        <v>45505</v>
      </c>
      <c r="C3" s="22">
        <v>45535</v>
      </c>
      <c r="D3" t="s">
        <v>569</v>
      </c>
      <c r="E3">
        <v>160000</v>
      </c>
      <c r="F3" t="s">
        <v>570</v>
      </c>
    </row>
    <row r="4" spans="1:6">
      <c r="A4" t="s">
        <v>38</v>
      </c>
      <c r="B4" s="22">
        <v>45570</v>
      </c>
      <c r="C4" s="22">
        <v>45601</v>
      </c>
      <c r="D4" t="s">
        <v>571</v>
      </c>
      <c r="E4">
        <v>220000</v>
      </c>
      <c r="F4" t="s">
        <v>572</v>
      </c>
    </row>
    <row r="5" spans="1:6">
      <c r="A5" t="s">
        <v>55</v>
      </c>
      <c r="B5" s="22">
        <v>45667</v>
      </c>
      <c r="C5" s="22">
        <v>45698</v>
      </c>
      <c r="D5" t="s">
        <v>573</v>
      </c>
      <c r="E5">
        <v>200000</v>
      </c>
      <c r="F5" t="s">
        <v>574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4307-E2D5-42F1-A735-3148B1B5AC7E}">
  <sheetPr codeName="Sheet10"/>
  <dimension ref="A1:C9"/>
  <sheetViews>
    <sheetView workbookViewId="0">
      <selection activeCell="C2" sqref="C2:C9"/>
    </sheetView>
  </sheetViews>
  <sheetFormatPr defaultRowHeight="14.4"/>
  <cols>
    <col min="1" max="2" width="17.77734375" bestFit="1" customWidth="1"/>
    <col min="3" max="3" width="15.109375" bestFit="1" customWidth="1"/>
    <col min="4" max="4" width="11.33203125" bestFit="1" customWidth="1"/>
    <col min="5" max="5" width="26.33203125" bestFit="1" customWidth="1"/>
    <col min="6" max="6" width="14.44140625" bestFit="1" customWidth="1"/>
    <col min="7" max="7" width="17.77734375" bestFit="1" customWidth="1"/>
  </cols>
  <sheetData>
    <row r="1" spans="1:3" ht="28.2" customHeight="1">
      <c r="A1" t="s">
        <v>12</v>
      </c>
      <c r="B1" t="s">
        <v>566</v>
      </c>
      <c r="C1" t="s">
        <v>619</v>
      </c>
    </row>
    <row r="2" spans="1:3">
      <c r="A2" t="s">
        <v>55</v>
      </c>
      <c r="B2" t="s">
        <v>31</v>
      </c>
      <c r="C2">
        <v>5931</v>
      </c>
    </row>
    <row r="3" spans="1:3">
      <c r="A3" t="s">
        <v>38</v>
      </c>
      <c r="B3" t="s">
        <v>31</v>
      </c>
      <c r="C3">
        <v>5331</v>
      </c>
    </row>
    <row r="4" spans="1:3">
      <c r="A4" t="s">
        <v>25</v>
      </c>
      <c r="B4" t="s">
        <v>40</v>
      </c>
      <c r="C4">
        <v>4399</v>
      </c>
    </row>
    <row r="5" spans="1:3">
      <c r="A5" t="s">
        <v>55</v>
      </c>
      <c r="B5" s="36" t="s">
        <v>14</v>
      </c>
      <c r="C5">
        <v>3944</v>
      </c>
    </row>
    <row r="6" spans="1:3">
      <c r="A6" t="s">
        <v>19</v>
      </c>
      <c r="B6" t="s">
        <v>31</v>
      </c>
      <c r="C6">
        <v>3362</v>
      </c>
    </row>
    <row r="7" spans="1:3">
      <c r="A7" t="s">
        <v>38</v>
      </c>
      <c r="B7" t="s">
        <v>40</v>
      </c>
      <c r="C7">
        <v>3312</v>
      </c>
    </row>
    <row r="8" spans="1:3">
      <c r="A8" t="s">
        <v>25</v>
      </c>
      <c r="B8" t="s">
        <v>31</v>
      </c>
      <c r="C8">
        <v>1820</v>
      </c>
    </row>
    <row r="9" spans="1:3">
      <c r="A9" t="s">
        <v>19</v>
      </c>
      <c r="B9" t="s">
        <v>27</v>
      </c>
      <c r="C9">
        <v>1569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2927D-724F-421E-AF1D-7A8AB3377292}">
  <sheetPr codeName="Sheet11"/>
  <dimension ref="F8:J113"/>
  <sheetViews>
    <sheetView showGridLines="0" zoomScale="85" zoomScaleNormal="85" workbookViewId="0">
      <pane ySplit="3" topLeftCell="A4" activePane="bottomLeft" state="frozen"/>
      <selection pane="bottomLeft" activeCell="K126" sqref="K126"/>
    </sheetView>
  </sheetViews>
  <sheetFormatPr defaultRowHeight="14.4"/>
  <cols>
    <col min="6" max="6" width="16.21875" bestFit="1" customWidth="1"/>
    <col min="7" max="7" width="16.109375" bestFit="1" customWidth="1"/>
    <col min="8" max="8" width="13.6640625" bestFit="1" customWidth="1"/>
    <col min="9" max="9" width="17.21875" bestFit="1" customWidth="1"/>
    <col min="10" max="10" width="10.5546875" bestFit="1" customWidth="1"/>
    <col min="11" max="11" width="11.5546875" customWidth="1"/>
    <col min="12" max="12" width="16.109375" customWidth="1"/>
    <col min="14" max="14" width="9.44140625" customWidth="1"/>
    <col min="15" max="15" width="13.109375" bestFit="1" customWidth="1"/>
    <col min="16" max="16" width="12.5546875" bestFit="1" customWidth="1"/>
    <col min="17" max="17" width="21.44140625" bestFit="1" customWidth="1"/>
    <col min="18" max="18" width="14.44140625" bestFit="1" customWidth="1"/>
    <col min="19" max="19" width="19.88671875" bestFit="1" customWidth="1"/>
    <col min="20" max="20" width="21.88671875" bestFit="1" customWidth="1"/>
    <col min="21" max="21" width="13.109375" bestFit="1" customWidth="1"/>
    <col min="22" max="22" width="16.6640625" bestFit="1" customWidth="1"/>
    <col min="23" max="23" width="16.33203125" bestFit="1" customWidth="1"/>
    <col min="24" max="24" width="17.88671875" bestFit="1" customWidth="1"/>
    <col min="25" max="25" width="21.5546875" bestFit="1" customWidth="1"/>
  </cols>
  <sheetData>
    <row r="8" spans="6:8" ht="21">
      <c r="H8" s="45"/>
    </row>
    <row r="10" spans="6:8" ht="57.6">
      <c r="F10" s="23" t="s">
        <v>580</v>
      </c>
      <c r="G10" s="28" t="s">
        <v>588</v>
      </c>
      <c r="H10" s="35" t="s">
        <v>592</v>
      </c>
    </row>
    <row r="11" spans="6:8">
      <c r="F11" s="24" t="s">
        <v>40</v>
      </c>
      <c r="G11" s="21">
        <v>0.12365614982571095</v>
      </c>
      <c r="H11" s="21">
        <v>0.12365614982571095</v>
      </c>
    </row>
    <row r="12" spans="6:8">
      <c r="F12" s="24" t="s">
        <v>31</v>
      </c>
      <c r="G12" s="21">
        <v>0.18382346037713751</v>
      </c>
      <c r="H12" s="21">
        <v>0.18382346037713751</v>
      </c>
    </row>
    <row r="13" spans="6:8">
      <c r="F13" s="24" t="s">
        <v>14</v>
      </c>
      <c r="G13" s="21">
        <v>0.14507690781327612</v>
      </c>
      <c r="H13" s="21">
        <v>0.14507690781327612</v>
      </c>
    </row>
    <row r="14" spans="6:8">
      <c r="F14" s="24" t="s">
        <v>27</v>
      </c>
      <c r="G14" s="21">
        <v>0.13369745354243884</v>
      </c>
      <c r="H14" s="21">
        <v>0.13369745354243884</v>
      </c>
    </row>
    <row r="15" spans="6:8">
      <c r="F15" s="24" t="s">
        <v>581</v>
      </c>
      <c r="G15" s="21">
        <v>0.1467596682150043</v>
      </c>
      <c r="H15" s="34">
        <f>AVERAGE(H11:H14)</f>
        <v>0.14656349288964088</v>
      </c>
    </row>
    <row r="16" spans="6:8">
      <c r="F16" s="24"/>
      <c r="G16" s="21"/>
      <c r="H16" s="91"/>
    </row>
    <row r="17" spans="6:9">
      <c r="F17" s="24"/>
      <c r="G17" s="21"/>
      <c r="H17" s="91"/>
    </row>
    <row r="22" spans="6:9" ht="21">
      <c r="H22" s="45"/>
    </row>
    <row r="23" spans="6:9" ht="14.4" customHeight="1">
      <c r="I23" s="27"/>
    </row>
    <row r="24" spans="6:9" ht="14.4" customHeight="1">
      <c r="F24" s="23" t="s">
        <v>579</v>
      </c>
      <c r="G24" t="s">
        <v>582</v>
      </c>
    </row>
    <row r="25" spans="6:9">
      <c r="F25" s="23" t="s">
        <v>4</v>
      </c>
      <c r="G25" t="s">
        <v>582</v>
      </c>
    </row>
    <row r="27" spans="6:9">
      <c r="F27" s="23" t="s">
        <v>580</v>
      </c>
      <c r="G27" s="28" t="s">
        <v>588</v>
      </c>
    </row>
    <row r="28" spans="6:9">
      <c r="F28" s="24" t="s">
        <v>435</v>
      </c>
      <c r="G28" s="21">
        <v>1.81292517006803</v>
      </c>
    </row>
    <row r="29" spans="6:9">
      <c r="F29" s="24" t="s">
        <v>165</v>
      </c>
      <c r="G29" s="21">
        <v>0.86601941747572797</v>
      </c>
    </row>
    <row r="30" spans="6:9">
      <c r="F30" s="24" t="s">
        <v>452</v>
      </c>
      <c r="G30" s="21">
        <v>0.71686746987951799</v>
      </c>
    </row>
    <row r="31" spans="6:9">
      <c r="F31" s="24" t="s">
        <v>373</v>
      </c>
      <c r="G31" s="21">
        <v>0.70387596899224802</v>
      </c>
    </row>
    <row r="32" spans="6:9">
      <c r="F32" s="24" t="s">
        <v>367</v>
      </c>
      <c r="G32" s="21">
        <v>0.65082159624413205</v>
      </c>
    </row>
    <row r="33" spans="6:9">
      <c r="F33" s="24" t="s">
        <v>173</v>
      </c>
      <c r="G33" s="21">
        <v>0.53773584905660399</v>
      </c>
    </row>
    <row r="34" spans="6:9">
      <c r="F34" s="24" t="s">
        <v>500</v>
      </c>
      <c r="G34" s="21">
        <v>0.53389830508474601</v>
      </c>
    </row>
    <row r="35" spans="6:9">
      <c r="F35" s="24" t="s">
        <v>316</v>
      </c>
      <c r="G35" s="21">
        <v>0.50192307692307703</v>
      </c>
    </row>
    <row r="36" spans="6:9">
      <c r="F36" s="24" t="s">
        <v>422</v>
      </c>
      <c r="G36" s="21">
        <v>0.485184076623765</v>
      </c>
    </row>
    <row r="37" spans="6:9">
      <c r="F37" s="24" t="s">
        <v>188</v>
      </c>
      <c r="G37" s="21">
        <v>0.38274706867671698</v>
      </c>
    </row>
    <row r="38" spans="6:9">
      <c r="F38" s="24" t="s">
        <v>581</v>
      </c>
      <c r="G38" s="21">
        <v>0.68570347081736938</v>
      </c>
    </row>
    <row r="39" spans="6:9">
      <c r="F39" s="24"/>
      <c r="G39" s="21"/>
    </row>
    <row r="40" spans="6:9">
      <c r="F40" s="24"/>
      <c r="G40" s="21"/>
    </row>
    <row r="41" spans="6:9">
      <c r="F41" s="24"/>
      <c r="G41" s="21"/>
    </row>
    <row r="46" spans="6:9" ht="21">
      <c r="H46" s="45"/>
    </row>
    <row r="48" spans="6:9" ht="14.4" customHeight="1">
      <c r="F48" s="23" t="s">
        <v>580</v>
      </c>
      <c r="G48" s="24" t="s">
        <v>583</v>
      </c>
      <c r="H48" s="24" t="s">
        <v>584</v>
      </c>
      <c r="I48" s="24" t="s">
        <v>585</v>
      </c>
    </row>
    <row r="49" spans="6:9">
      <c r="F49" s="24" t="s">
        <v>40</v>
      </c>
      <c r="G49" s="24">
        <v>371086</v>
      </c>
      <c r="H49" s="24">
        <v>61461</v>
      </c>
      <c r="I49" s="24">
        <v>35930</v>
      </c>
    </row>
    <row r="50" spans="6:9">
      <c r="F50" s="25" t="s">
        <v>42</v>
      </c>
      <c r="G50" s="24">
        <v>66227</v>
      </c>
      <c r="H50" s="24">
        <v>9637</v>
      </c>
      <c r="I50" s="24">
        <v>6787</v>
      </c>
    </row>
    <row r="51" spans="6:9">
      <c r="F51" s="25" t="s">
        <v>49</v>
      </c>
      <c r="G51" s="24">
        <v>113632</v>
      </c>
      <c r="H51" s="24">
        <v>21706</v>
      </c>
      <c r="I51" s="24">
        <v>10337</v>
      </c>
    </row>
    <row r="52" spans="6:9">
      <c r="F52" s="25" t="s">
        <v>16</v>
      </c>
      <c r="G52" s="24">
        <v>54640</v>
      </c>
      <c r="H52" s="24">
        <v>9859</v>
      </c>
      <c r="I52" s="24">
        <v>5299</v>
      </c>
    </row>
    <row r="53" spans="6:9">
      <c r="F53" s="25" t="s">
        <v>33</v>
      </c>
      <c r="G53" s="24">
        <v>50368</v>
      </c>
      <c r="H53" s="24">
        <v>8782</v>
      </c>
      <c r="I53" s="24">
        <v>5643</v>
      </c>
    </row>
    <row r="54" spans="6:9">
      <c r="F54" s="25" t="s">
        <v>22</v>
      </c>
      <c r="G54" s="24">
        <v>48931</v>
      </c>
      <c r="H54" s="24">
        <v>7591</v>
      </c>
      <c r="I54" s="24">
        <v>5053</v>
      </c>
    </row>
    <row r="55" spans="6:9">
      <c r="F55" s="25" t="s">
        <v>69</v>
      </c>
      <c r="G55" s="24">
        <v>37288</v>
      </c>
      <c r="H55" s="24">
        <v>3886</v>
      </c>
      <c r="I55" s="24">
        <v>2811</v>
      </c>
    </row>
    <row r="56" spans="6:9">
      <c r="F56" s="24" t="s">
        <v>31</v>
      </c>
      <c r="G56" s="24">
        <v>297546</v>
      </c>
      <c r="H56" s="24">
        <v>61637</v>
      </c>
      <c r="I56" s="24">
        <v>25948</v>
      </c>
    </row>
    <row r="57" spans="6:9">
      <c r="F57" s="25" t="s">
        <v>42</v>
      </c>
      <c r="G57" s="24">
        <v>68219</v>
      </c>
      <c r="H57" s="24">
        <v>11382</v>
      </c>
      <c r="I57" s="24">
        <v>6374</v>
      </c>
    </row>
    <row r="58" spans="6:9">
      <c r="F58" s="25" t="s">
        <v>49</v>
      </c>
      <c r="G58" s="24">
        <v>42500</v>
      </c>
      <c r="H58" s="24">
        <v>5872</v>
      </c>
      <c r="I58" s="24">
        <v>3079</v>
      </c>
    </row>
    <row r="59" spans="6:9">
      <c r="F59" s="25" t="s">
        <v>16</v>
      </c>
      <c r="G59" s="24">
        <v>56478</v>
      </c>
      <c r="H59" s="24">
        <v>12919</v>
      </c>
      <c r="I59" s="24">
        <v>5562</v>
      </c>
    </row>
    <row r="60" spans="6:9">
      <c r="F60" s="25" t="s">
        <v>33</v>
      </c>
      <c r="G60" s="24">
        <v>60367</v>
      </c>
      <c r="H60" s="24">
        <v>14599</v>
      </c>
      <c r="I60" s="24">
        <v>5384</v>
      </c>
    </row>
    <row r="61" spans="6:9">
      <c r="F61" s="25" t="s">
        <v>22</v>
      </c>
      <c r="G61" s="24">
        <v>37374</v>
      </c>
      <c r="H61" s="24">
        <v>8200</v>
      </c>
      <c r="I61" s="24">
        <v>2875</v>
      </c>
    </row>
    <row r="62" spans="6:9">
      <c r="F62" s="25" t="s">
        <v>69</v>
      </c>
      <c r="G62" s="24">
        <v>32608</v>
      </c>
      <c r="H62" s="24">
        <v>8665</v>
      </c>
      <c r="I62" s="24">
        <v>2674</v>
      </c>
    </row>
    <row r="63" spans="6:9">
      <c r="F63" s="24" t="s">
        <v>14</v>
      </c>
      <c r="G63" s="24">
        <v>306695</v>
      </c>
      <c r="H63" s="24">
        <v>51229</v>
      </c>
      <c r="I63" s="24">
        <v>31571</v>
      </c>
    </row>
    <row r="64" spans="6:9">
      <c r="F64" s="25" t="s">
        <v>42</v>
      </c>
      <c r="G64" s="24">
        <v>73237</v>
      </c>
      <c r="H64" s="24">
        <v>8706</v>
      </c>
      <c r="I64" s="24">
        <v>5180</v>
      </c>
    </row>
    <row r="65" spans="6:9">
      <c r="F65" s="25" t="s">
        <v>49</v>
      </c>
      <c r="G65" s="24">
        <v>65823</v>
      </c>
      <c r="H65" s="24">
        <v>9930</v>
      </c>
      <c r="I65" s="24">
        <v>7506</v>
      </c>
    </row>
    <row r="66" spans="6:9">
      <c r="F66" s="25" t="s">
        <v>16</v>
      </c>
      <c r="G66" s="24">
        <v>38821</v>
      </c>
      <c r="H66" s="24">
        <v>7701</v>
      </c>
      <c r="I66" s="24">
        <v>2928</v>
      </c>
    </row>
    <row r="67" spans="6:9">
      <c r="F67" s="25" t="s">
        <v>33</v>
      </c>
      <c r="G67" s="24">
        <v>33392</v>
      </c>
      <c r="H67" s="24">
        <v>7893</v>
      </c>
      <c r="I67" s="24">
        <v>4891</v>
      </c>
    </row>
    <row r="68" spans="6:9">
      <c r="F68" s="25" t="s">
        <v>22</v>
      </c>
      <c r="G68" s="24">
        <v>47839</v>
      </c>
      <c r="H68" s="24">
        <v>7001</v>
      </c>
      <c r="I68" s="24">
        <v>6047</v>
      </c>
    </row>
    <row r="69" spans="6:9">
      <c r="F69" s="25" t="s">
        <v>69</v>
      </c>
      <c r="G69" s="24">
        <v>47583</v>
      </c>
      <c r="H69" s="24">
        <v>9998</v>
      </c>
      <c r="I69" s="24">
        <v>5019</v>
      </c>
    </row>
    <row r="70" spans="6:9">
      <c r="F70" s="24" t="s">
        <v>27</v>
      </c>
      <c r="G70" s="24">
        <v>267372</v>
      </c>
      <c r="H70" s="24">
        <v>45230</v>
      </c>
      <c r="I70" s="24">
        <v>19893</v>
      </c>
    </row>
    <row r="71" spans="6:9">
      <c r="F71" s="25" t="s">
        <v>42</v>
      </c>
      <c r="G71" s="24">
        <v>41265</v>
      </c>
      <c r="H71" s="24">
        <v>10681</v>
      </c>
      <c r="I71" s="24">
        <v>4131</v>
      </c>
    </row>
    <row r="72" spans="6:9">
      <c r="F72" s="25" t="s">
        <v>49</v>
      </c>
      <c r="G72" s="24">
        <v>42295</v>
      </c>
      <c r="H72" s="24">
        <v>6986</v>
      </c>
      <c r="I72" s="24">
        <v>3555</v>
      </c>
    </row>
    <row r="73" spans="6:9">
      <c r="F73" s="25" t="s">
        <v>16</v>
      </c>
      <c r="G73" s="24">
        <v>38752</v>
      </c>
      <c r="H73" s="24">
        <v>5369</v>
      </c>
      <c r="I73" s="24">
        <v>3141</v>
      </c>
    </row>
    <row r="74" spans="6:9">
      <c r="F74" s="25" t="s">
        <v>33</v>
      </c>
      <c r="G74" s="24">
        <v>50307</v>
      </c>
      <c r="H74" s="24">
        <v>6445</v>
      </c>
      <c r="I74" s="24">
        <v>3053</v>
      </c>
    </row>
    <row r="75" spans="6:9">
      <c r="F75" s="25" t="s">
        <v>22</v>
      </c>
      <c r="G75" s="24">
        <v>45907</v>
      </c>
      <c r="H75" s="24">
        <v>6506</v>
      </c>
      <c r="I75" s="24">
        <v>1863</v>
      </c>
    </row>
    <row r="76" spans="6:9">
      <c r="F76" s="25" t="s">
        <v>69</v>
      </c>
      <c r="G76" s="24">
        <v>48846</v>
      </c>
      <c r="H76" s="24">
        <v>9243</v>
      </c>
      <c r="I76" s="24">
        <v>4150</v>
      </c>
    </row>
    <row r="77" spans="6:9">
      <c r="F77" s="24" t="s">
        <v>581</v>
      </c>
      <c r="G77" s="24">
        <v>1242699</v>
      </c>
      <c r="H77" s="24">
        <v>219557</v>
      </c>
      <c r="I77" s="24">
        <v>113342</v>
      </c>
    </row>
    <row r="78" spans="6:9">
      <c r="F78" s="24"/>
      <c r="G78" s="24"/>
      <c r="H78" s="24"/>
      <c r="I78" s="24"/>
    </row>
    <row r="79" spans="6:9">
      <c r="F79" s="24"/>
      <c r="G79" s="24"/>
      <c r="H79" s="24"/>
      <c r="I79" s="24"/>
    </row>
    <row r="80" spans="6:9">
      <c r="F80" s="24"/>
      <c r="G80" s="24"/>
      <c r="H80" s="24"/>
      <c r="I80" s="24"/>
    </row>
    <row r="85" spans="6:9" ht="21">
      <c r="H85" s="45"/>
    </row>
    <row r="86" spans="6:9" ht="12.6" customHeight="1">
      <c r="H86" s="27"/>
    </row>
    <row r="87" spans="6:9">
      <c r="F87" s="23" t="s">
        <v>580</v>
      </c>
      <c r="G87" s="28" t="s">
        <v>586</v>
      </c>
      <c r="H87" s="28" t="s">
        <v>590</v>
      </c>
      <c r="I87" s="31" t="s">
        <v>591</v>
      </c>
    </row>
    <row r="88" spans="6:9">
      <c r="F88" s="24" t="s">
        <v>18</v>
      </c>
      <c r="G88" s="26">
        <v>149.70103092783506</v>
      </c>
      <c r="H88">
        <v>97</v>
      </c>
      <c r="I88" s="33" t="b">
        <v>0</v>
      </c>
    </row>
    <row r="89" spans="6:9">
      <c r="F89" s="24" t="s">
        <v>24</v>
      </c>
      <c r="G89" s="26">
        <v>140.96385542168676</v>
      </c>
      <c r="H89">
        <v>83</v>
      </c>
      <c r="I89" s="33" t="b">
        <v>0</v>
      </c>
    </row>
    <row r="90" spans="6:9">
      <c r="F90" s="24" t="s">
        <v>58</v>
      </c>
      <c r="G90" s="26">
        <v>146.16346153846155</v>
      </c>
      <c r="H90">
        <v>104</v>
      </c>
      <c r="I90" s="33" t="b">
        <v>0</v>
      </c>
    </row>
    <row r="91" spans="6:9">
      <c r="F91" s="24" t="s">
        <v>44</v>
      </c>
      <c r="G91" s="26">
        <v>165.27173913043478</v>
      </c>
      <c r="H91">
        <v>92</v>
      </c>
      <c r="I91" s="33" t="b">
        <v>1</v>
      </c>
    </row>
    <row r="92" spans="6:9">
      <c r="F92" s="24" t="s">
        <v>77</v>
      </c>
      <c r="G92" s="26">
        <v>152.57499999999999</v>
      </c>
      <c r="H92">
        <v>80</v>
      </c>
      <c r="I92" s="33" t="b">
        <v>1</v>
      </c>
    </row>
    <row r="93" spans="6:9">
      <c r="F93" s="24" t="s">
        <v>581</v>
      </c>
      <c r="G93" s="26">
        <v>150.94956140350877</v>
      </c>
      <c r="H93">
        <v>456</v>
      </c>
      <c r="I93" s="32"/>
    </row>
    <row r="94" spans="6:9">
      <c r="F94" s="24"/>
      <c r="G94" s="26"/>
      <c r="I94" s="92"/>
    </row>
    <row r="95" spans="6:9">
      <c r="F95" s="24"/>
      <c r="G95" s="26"/>
      <c r="I95" s="92"/>
    </row>
    <row r="96" spans="6:9">
      <c r="F96" s="24"/>
      <c r="G96" s="26"/>
      <c r="I96" s="92"/>
    </row>
    <row r="101" spans="6:10" ht="21">
      <c r="H101" s="45"/>
    </row>
    <row r="102" spans="6:10" ht="21">
      <c r="H102" s="27"/>
    </row>
    <row r="103" spans="6:10">
      <c r="F103" s="23" t="s">
        <v>1</v>
      </c>
      <c r="G103" t="s">
        <v>582</v>
      </c>
    </row>
    <row r="104" spans="6:10">
      <c r="F104" s="23" t="s">
        <v>3</v>
      </c>
      <c r="G104" t="s">
        <v>582</v>
      </c>
    </row>
    <row r="105" spans="6:10">
      <c r="F105" s="23" t="s">
        <v>12</v>
      </c>
      <c r="G105" t="s">
        <v>582</v>
      </c>
    </row>
    <row r="107" spans="6:10">
      <c r="F107" s="23" t="s">
        <v>580</v>
      </c>
      <c r="G107" s="24" t="s">
        <v>586</v>
      </c>
      <c r="H107" s="24" t="s">
        <v>587</v>
      </c>
      <c r="I107" s="24" t="s">
        <v>588</v>
      </c>
      <c r="J107" s="24" t="s">
        <v>589</v>
      </c>
    </row>
    <row r="108" spans="6:10">
      <c r="F108" s="24" t="s">
        <v>44</v>
      </c>
      <c r="G108" s="29">
        <v>165.27173913043478</v>
      </c>
      <c r="H108" s="30">
        <v>1.6243103136057157E-2</v>
      </c>
      <c r="I108" s="30">
        <v>0.14353069934635868</v>
      </c>
      <c r="J108" s="24">
        <v>92</v>
      </c>
    </row>
    <row r="109" spans="6:10">
      <c r="F109" s="24" t="s">
        <v>77</v>
      </c>
      <c r="G109" s="29">
        <v>152.57499999999999</v>
      </c>
      <c r="H109" s="30">
        <v>1.2067782300563677E-2</v>
      </c>
      <c r="I109" s="30">
        <v>0.13661098759977458</v>
      </c>
      <c r="J109" s="24">
        <v>80</v>
      </c>
    </row>
    <row r="110" spans="6:10">
      <c r="F110" s="24" t="s">
        <v>18</v>
      </c>
      <c r="G110" s="29">
        <v>149.70103092783506</v>
      </c>
      <c r="H110" s="30">
        <v>1.2320658783554797E-2</v>
      </c>
      <c r="I110" s="30">
        <v>0.14917346050861879</v>
      </c>
      <c r="J110" s="24">
        <v>97</v>
      </c>
    </row>
    <row r="111" spans="6:10">
      <c r="F111" s="24" t="s">
        <v>58</v>
      </c>
      <c r="G111" s="29">
        <v>146.16346153846155</v>
      </c>
      <c r="H111" s="30">
        <v>9.0066758342913899E-3</v>
      </c>
      <c r="I111" s="30">
        <v>0.15618194212592129</v>
      </c>
      <c r="J111" s="24">
        <v>104</v>
      </c>
    </row>
    <row r="112" spans="6:10">
      <c r="F112" s="24" t="s">
        <v>24</v>
      </c>
      <c r="G112" s="29">
        <v>140.96385542168676</v>
      </c>
      <c r="H112" s="30">
        <v>1.0360992695402889E-2</v>
      </c>
      <c r="I112" s="30">
        <v>0.14549346635859287</v>
      </c>
      <c r="J112" s="24">
        <v>83</v>
      </c>
    </row>
    <row r="113" spans="6:10">
      <c r="F113" s="24" t="s">
        <v>581</v>
      </c>
      <c r="G113" s="29">
        <v>150.94956140350877</v>
      </c>
      <c r="H113" s="30">
        <v>1.1955150559324362E-2</v>
      </c>
      <c r="I113" s="30">
        <v>0.14675966821500447</v>
      </c>
      <c r="J113" s="24">
        <v>456</v>
      </c>
    </row>
  </sheetData>
  <conditionalFormatting pivot="1" sqref="I113">
    <cfRule type="cellIs" dxfId="108" priority="21" operator="greaterThan">
      <formula>0.1468</formula>
    </cfRule>
  </conditionalFormatting>
  <conditionalFormatting pivot="1" sqref="G113">
    <cfRule type="cellIs" dxfId="107" priority="20" operator="greaterThan">
      <formula>150.95</formula>
    </cfRule>
  </conditionalFormatting>
  <conditionalFormatting pivot="1" sqref="G108:G112">
    <cfRule type="iconSet" priority="16">
      <iconSet iconSet="3Arrows">
        <cfvo type="percent" val="0"/>
        <cfvo type="percent" val="33"/>
        <cfvo type="percent" val="67"/>
      </iconSet>
    </cfRule>
  </conditionalFormatting>
  <conditionalFormatting pivot="1" sqref="I108:I112">
    <cfRule type="iconSet" priority="15">
      <iconSet iconSet="3Arrows">
        <cfvo type="percent" val="0"/>
        <cfvo type="percent" val="33"/>
        <cfvo type="percent" val="67"/>
      </iconSet>
    </cfRule>
  </conditionalFormatting>
  <conditionalFormatting pivot="1" sqref="G50:G55">
    <cfRule type="iconSet" priority="14">
      <iconSet iconSet="3Arrows">
        <cfvo type="percent" val="0"/>
        <cfvo type="percent" val="33"/>
        <cfvo type="percent" val="67"/>
      </iconSet>
    </cfRule>
  </conditionalFormatting>
  <conditionalFormatting pivot="1" sqref="H50:H55">
    <cfRule type="iconSet" priority="13">
      <iconSet iconSet="3Arrows">
        <cfvo type="percent" val="0"/>
        <cfvo type="percent" val="33"/>
        <cfvo type="percent" val="67"/>
      </iconSet>
    </cfRule>
  </conditionalFormatting>
  <conditionalFormatting pivot="1" sqref="I50:I55">
    <cfRule type="iconSet" priority="12">
      <iconSet iconSet="3Arrows">
        <cfvo type="percent" val="0"/>
        <cfvo type="percent" val="33"/>
        <cfvo type="percent" val="67"/>
      </iconSet>
    </cfRule>
  </conditionalFormatting>
  <conditionalFormatting pivot="1" sqref="G57:G62">
    <cfRule type="iconSet" priority="11">
      <iconSet iconSet="3Arrows">
        <cfvo type="percent" val="0"/>
        <cfvo type="percent" val="33"/>
        <cfvo type="percent" val="67"/>
      </iconSet>
    </cfRule>
  </conditionalFormatting>
  <conditionalFormatting pivot="1" sqref="H57:H62">
    <cfRule type="iconSet" priority="10">
      <iconSet iconSet="3Arrows">
        <cfvo type="percent" val="0"/>
        <cfvo type="percent" val="33"/>
        <cfvo type="percent" val="67"/>
      </iconSet>
    </cfRule>
  </conditionalFormatting>
  <conditionalFormatting pivot="1" sqref="I57:I62">
    <cfRule type="iconSet" priority="9">
      <iconSet iconSet="3Arrows">
        <cfvo type="percent" val="0"/>
        <cfvo type="percent" val="33"/>
        <cfvo type="percent" val="67"/>
      </iconSet>
    </cfRule>
  </conditionalFormatting>
  <conditionalFormatting pivot="1" sqref="G64:G69">
    <cfRule type="iconSet" priority="8">
      <iconSet iconSet="3Arrows">
        <cfvo type="percent" val="0"/>
        <cfvo type="percent" val="33"/>
        <cfvo type="percent" val="67"/>
      </iconSet>
    </cfRule>
  </conditionalFormatting>
  <conditionalFormatting pivot="1" sqref="H64:H69">
    <cfRule type="iconSet" priority="7">
      <iconSet iconSet="3Arrows">
        <cfvo type="percent" val="0"/>
        <cfvo type="percent" val="33"/>
        <cfvo type="percent" val="67"/>
      </iconSet>
    </cfRule>
  </conditionalFormatting>
  <conditionalFormatting pivot="1" sqref="I64:I69">
    <cfRule type="iconSet" priority="6">
      <iconSet iconSet="3Arrows">
        <cfvo type="percent" val="0"/>
        <cfvo type="percent" val="33"/>
        <cfvo type="percent" val="67"/>
      </iconSet>
    </cfRule>
  </conditionalFormatting>
  <conditionalFormatting pivot="1" sqref="I71:I76">
    <cfRule type="iconSet" priority="5">
      <iconSet iconSet="3Arrows">
        <cfvo type="percent" val="0"/>
        <cfvo type="percent" val="33"/>
        <cfvo type="percent" val="67"/>
      </iconSet>
    </cfRule>
  </conditionalFormatting>
  <conditionalFormatting pivot="1" sqref="H71:H76">
    <cfRule type="iconSet" priority="4">
      <iconSet iconSet="3Arrows">
        <cfvo type="percent" val="0"/>
        <cfvo type="percent" val="33"/>
        <cfvo type="percent" val="67"/>
      </iconSet>
    </cfRule>
  </conditionalFormatting>
  <conditionalFormatting pivot="1" sqref="G71:G76">
    <cfRule type="iconSet" priority="3">
      <iconSet iconSet="3Arrows">
        <cfvo type="percent" val="0"/>
        <cfvo type="percent" val="33"/>
        <cfvo type="percent" val="67"/>
      </iconSet>
    </cfRule>
  </conditionalFormatting>
  <conditionalFormatting pivot="1" sqref="G11:G14">
    <cfRule type="iconSet" priority="2">
      <iconSet iconSet="3Arrows">
        <cfvo type="percent" val="0"/>
        <cfvo type="percent" val="33"/>
        <cfvo type="percent" val="67"/>
      </iconSet>
    </cfRule>
  </conditionalFormatting>
  <conditionalFormatting pivot="1" sqref="H108:H112">
    <cfRule type="iconSet" priority="1">
      <iconSet iconSet="3Arrows">
        <cfvo type="percent" val="0"/>
        <cfvo type="percent" val="33"/>
        <cfvo type="percent" val="67"/>
      </iconSet>
    </cfRule>
  </conditionalFormatting>
  <pageMargins left="0.7" right="0.7" top="0.75" bottom="0.75" header="0.3" footer="0.3"/>
  <drawing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2EDAA-1498-47DD-969D-EDBDAD56610A}">
  <sheetPr codeName="Sheet12"/>
  <dimension ref="F6:O102"/>
  <sheetViews>
    <sheetView showGridLines="0" zoomScale="85" zoomScaleNormal="85" workbookViewId="0">
      <pane ySplit="3" topLeftCell="A14" activePane="bottomLeft" state="frozen"/>
      <selection activeCell="B1" sqref="B1"/>
      <selection pane="bottomLeft" activeCell="H16" sqref="H16"/>
    </sheetView>
  </sheetViews>
  <sheetFormatPr defaultRowHeight="14.4"/>
  <cols>
    <col min="1" max="5" width="6.5546875" customWidth="1"/>
    <col min="6" max="6" width="16.109375" bestFit="1" customWidth="1"/>
    <col min="7" max="7" width="16.44140625" bestFit="1" customWidth="1"/>
    <col min="8" max="8" width="16.5546875" bestFit="1" customWidth="1"/>
    <col min="9" max="9" width="14.6640625" bestFit="1" customWidth="1"/>
    <col min="10" max="10" width="16.5546875" bestFit="1" customWidth="1"/>
    <col min="11" max="11" width="11.44140625" bestFit="1" customWidth="1"/>
    <col min="12" max="12" width="16.109375" customWidth="1"/>
    <col min="14" max="14" width="9.44140625" customWidth="1"/>
    <col min="15" max="15" width="1.44140625" bestFit="1" customWidth="1"/>
    <col min="16" max="16" width="16.6640625" bestFit="1" customWidth="1"/>
    <col min="17" max="17" width="18.44140625" bestFit="1" customWidth="1"/>
    <col min="18" max="18" width="21.5546875" bestFit="1" customWidth="1"/>
    <col min="19" max="19" width="19.88671875" bestFit="1" customWidth="1"/>
    <col min="20" max="20" width="21.88671875" bestFit="1" customWidth="1"/>
    <col min="21" max="21" width="13.109375" bestFit="1" customWidth="1"/>
    <col min="22" max="22" width="16.6640625" bestFit="1" customWidth="1"/>
    <col min="23" max="23" width="16.33203125" bestFit="1" customWidth="1"/>
    <col min="24" max="24" width="17.88671875" bestFit="1" customWidth="1"/>
    <col min="25" max="25" width="21.5546875" bestFit="1" customWidth="1"/>
  </cols>
  <sheetData>
    <row r="6" spans="6:11" ht="21">
      <c r="I6" s="45"/>
    </row>
    <row r="7" spans="6:11" ht="21">
      <c r="I7" s="45"/>
    </row>
    <row r="9" spans="6:11">
      <c r="F9" s="23" t="s">
        <v>588</v>
      </c>
      <c r="G9" s="23" t="s">
        <v>595</v>
      </c>
    </row>
    <row r="10" spans="6:11">
      <c r="F10" s="23" t="s">
        <v>580</v>
      </c>
      <c r="G10" s="24" t="s">
        <v>40</v>
      </c>
      <c r="H10" s="24" t="s">
        <v>31</v>
      </c>
      <c r="I10" s="24" t="s">
        <v>14</v>
      </c>
      <c r="J10" s="24" t="s">
        <v>27</v>
      </c>
      <c r="K10" s="24" t="s">
        <v>581</v>
      </c>
    </row>
    <row r="11" spans="6:11">
      <c r="F11" s="24" t="s">
        <v>42</v>
      </c>
      <c r="G11" s="30">
        <v>0.12109666407469055</v>
      </c>
      <c r="H11" s="30">
        <v>0.14956648565946415</v>
      </c>
      <c r="I11" s="30">
        <v>0.15401289461195852</v>
      </c>
      <c r="J11" s="30">
        <v>0.18122624677822843</v>
      </c>
      <c r="K11" s="30">
        <v>0.15047050381891933</v>
      </c>
    </row>
    <row r="12" spans="6:11">
      <c r="F12" s="24" t="s">
        <v>49</v>
      </c>
      <c r="G12" s="30">
        <v>0.12061112766412392</v>
      </c>
      <c r="H12" s="30">
        <v>0.14086940708541543</v>
      </c>
      <c r="I12" s="30">
        <v>0.14212117244811467</v>
      </c>
      <c r="J12" s="30">
        <v>0.15060864723859627</v>
      </c>
      <c r="K12" s="30">
        <v>0.13441676224952803</v>
      </c>
    </row>
    <row r="13" spans="6:11">
      <c r="F13" s="24" t="s">
        <v>16</v>
      </c>
      <c r="G13" s="30">
        <v>0.10701843199404039</v>
      </c>
      <c r="H13" s="30">
        <v>0.21692441679102503</v>
      </c>
      <c r="I13" s="30">
        <v>0.1353085192973971</v>
      </c>
      <c r="J13" s="30">
        <v>0.10884132981723139</v>
      </c>
      <c r="K13" s="30">
        <v>0.14780796437691604</v>
      </c>
    </row>
    <row r="14" spans="6:11">
      <c r="F14" s="24" t="s">
        <v>33</v>
      </c>
      <c r="G14" s="30">
        <v>0.1623105123293774</v>
      </c>
      <c r="H14" s="30">
        <v>0.2226051385980625</v>
      </c>
      <c r="I14" s="30">
        <v>0.20267997004618613</v>
      </c>
      <c r="J14" s="30">
        <v>9.3220206245054213E-2</v>
      </c>
      <c r="K14" s="30">
        <v>0.17857021538718534</v>
      </c>
    </row>
    <row r="15" spans="6:11">
      <c r="F15" s="24" t="s">
        <v>22</v>
      </c>
      <c r="G15" s="30">
        <v>0.10885122171624459</v>
      </c>
      <c r="H15" s="30">
        <v>0.1254916397210408</v>
      </c>
      <c r="I15" s="30">
        <v>0.12174585283291929</v>
      </c>
      <c r="J15" s="30">
        <v>0.11195715294459543</v>
      </c>
      <c r="K15" s="30">
        <v>0.11668494640892112</v>
      </c>
    </row>
    <row r="16" spans="6:11">
      <c r="F16" s="24" t="s">
        <v>69</v>
      </c>
      <c r="G16" s="30">
        <v>0.12547951027961801</v>
      </c>
      <c r="H16" s="30">
        <v>0.22639645328555758</v>
      </c>
      <c r="I16" s="30">
        <v>0.12181404077116192</v>
      </c>
      <c r="J16" s="30">
        <v>0.13561723338044726</v>
      </c>
      <c r="K16" s="30">
        <v>0.15418026710586522</v>
      </c>
    </row>
    <row r="17" spans="6:11">
      <c r="F17" s="24" t="s">
        <v>581</v>
      </c>
      <c r="G17" s="30">
        <v>0.12365614982571091</v>
      </c>
      <c r="H17" s="30">
        <v>0.18382346037713757</v>
      </c>
      <c r="I17" s="30">
        <v>0.14507690781327615</v>
      </c>
      <c r="J17" s="30">
        <v>0.13369745354243878</v>
      </c>
      <c r="K17" s="30">
        <v>0.14675966821500444</v>
      </c>
    </row>
    <row r="19" spans="6:11" ht="21">
      <c r="H19" s="27"/>
    </row>
    <row r="20" spans="6:11" ht="14.4" customHeight="1">
      <c r="I20" s="27"/>
    </row>
    <row r="21" spans="6:11" ht="14.4" customHeight="1"/>
    <row r="39" spans="6:12" ht="21">
      <c r="I39" s="45"/>
    </row>
    <row r="41" spans="6:12" ht="15.6">
      <c r="F41" s="36" t="s">
        <v>1</v>
      </c>
      <c r="G41" s="36" t="s">
        <v>597</v>
      </c>
      <c r="H41" s="36" t="s">
        <v>600</v>
      </c>
      <c r="I41" s="36" t="s">
        <v>598</v>
      </c>
      <c r="J41" s="36" t="s">
        <v>599</v>
      </c>
      <c r="L41" s="38"/>
    </row>
    <row r="42" spans="6:12" ht="15.6">
      <c r="F42" s="36" t="s">
        <v>40</v>
      </c>
      <c r="G42" s="37">
        <f>SUMIFS(TBL_Engagement_summary_1[Net_follower/Week],TBL_Engagement_summary_1[Platform],Table9[[#This Row],[Platform]])</f>
        <v>35557</v>
      </c>
      <c r="H42" s="37">
        <v>344084</v>
      </c>
      <c r="I42" s="37">
        <f>Table9[[#This Row],[NetChanges]]+Table9[[#This Row],[StartFollowers]]</f>
        <v>379641</v>
      </c>
      <c r="J42" s="40">
        <f>(Table9[[#This Row],[EndEstimate]]-Table9[[#This Row],[StartFollowers]])/Table9[[#This Row],[StartFollowers]]</f>
        <v>0.10333813836156287</v>
      </c>
      <c r="L42" s="38"/>
    </row>
    <row r="43" spans="6:12" ht="15.6">
      <c r="F43" s="36" t="s">
        <v>31</v>
      </c>
      <c r="G43" s="37">
        <f>SUMIFS(TBL_Engagement_summary_1[Net_follower/Week],TBL_Engagement_summary_1[Platform],Table9[[#This Row],[Platform]])</f>
        <v>48004</v>
      </c>
      <c r="H43" s="37">
        <v>42654</v>
      </c>
      <c r="I43" s="37">
        <f>Table9[[#This Row],[NetChanges]]+Table9[[#This Row],[StartFollowers]]</f>
        <v>90658</v>
      </c>
      <c r="J43" s="40">
        <f>(Table9[[#This Row],[EndEstimate]]-Table9[[#This Row],[StartFollowers]])/Table9[[#This Row],[StartFollowers]]</f>
        <v>1.125427861396352</v>
      </c>
      <c r="L43" s="38"/>
    </row>
    <row r="44" spans="6:12" ht="15.6">
      <c r="F44" s="36" t="s">
        <v>14</v>
      </c>
      <c r="G44" s="37">
        <f>SUMIFS(TBL_Engagement_summary_1[Net_follower/Week],TBL_Engagement_summary_1[Platform],Table9[[#This Row],[Platform]])</f>
        <v>41177</v>
      </c>
      <c r="H44" s="37">
        <v>146834</v>
      </c>
      <c r="I44" s="37">
        <f>Table9[[#This Row],[NetChanges]]+Table9[[#This Row],[StartFollowers]]</f>
        <v>188011</v>
      </c>
      <c r="J44" s="40">
        <f>(Table9[[#This Row],[EndEstimate]]-Table9[[#This Row],[StartFollowers]])/Table9[[#This Row],[StartFollowers]]</f>
        <v>0.28043232493836578</v>
      </c>
      <c r="L44" s="38"/>
    </row>
    <row r="45" spans="6:12">
      <c r="F45" s="36" t="s">
        <v>578</v>
      </c>
      <c r="G45" s="37">
        <f>SUMIFS(TBL_Engagement_summary_1[Net_follower/Week],TBL_Engagement_summary_1[Platform],Table9[[#This Row],[Platform]])</f>
        <v>35367</v>
      </c>
      <c r="H45" s="37">
        <v>395536</v>
      </c>
      <c r="I45" s="37">
        <f>Table9[[#This Row],[NetChanges]]+Table9[[#This Row],[StartFollowers]]</f>
        <v>430903</v>
      </c>
      <c r="J45" s="40">
        <f>(Table9[[#This Row],[EndEstimate]]-Table9[[#This Row],[StartFollowers]])/Table9[[#This Row],[StartFollowers]]</f>
        <v>8.9415375591602286E-2</v>
      </c>
    </row>
    <row r="57" spans="13:13">
      <c r="M57" s="39"/>
    </row>
    <row r="66" spans="8:9" ht="15.6" customHeight="1">
      <c r="H66" s="27"/>
    </row>
    <row r="67" spans="8:9" ht="15.6" customHeight="1">
      <c r="H67" s="27"/>
    </row>
    <row r="68" spans="8:9" ht="21">
      <c r="I68" s="45"/>
    </row>
    <row r="93" spans="15:15">
      <c r="O93" s="36" t="s">
        <v>602</v>
      </c>
    </row>
    <row r="102" spans="10:10" ht="21">
      <c r="J102" s="45"/>
    </row>
  </sheetData>
  <phoneticPr fontId="9" type="noConversion"/>
  <conditionalFormatting pivot="1" sqref="G11:G16">
    <cfRule type="iconSet" priority="5">
      <iconSet iconSet="3Arrows">
        <cfvo type="percent" val="0"/>
        <cfvo type="percent" val="33"/>
        <cfvo type="percent" val="67"/>
      </iconSet>
    </cfRule>
  </conditionalFormatting>
  <conditionalFormatting pivot="1" sqref="H11:H16">
    <cfRule type="iconSet" priority="4">
      <iconSet iconSet="3Arrows">
        <cfvo type="percent" val="0"/>
        <cfvo type="percent" val="33"/>
        <cfvo type="percent" val="67"/>
      </iconSet>
    </cfRule>
  </conditionalFormatting>
  <conditionalFormatting pivot="1" sqref="I11:I16">
    <cfRule type="iconSet" priority="3">
      <iconSet iconSet="3Arrows">
        <cfvo type="percent" val="0"/>
        <cfvo type="percent" val="33"/>
        <cfvo type="percent" val="67"/>
      </iconSet>
    </cfRule>
  </conditionalFormatting>
  <conditionalFormatting pivot="1" sqref="J11:J16">
    <cfRule type="iconSet" priority="2">
      <iconSet iconSet="3Arrows">
        <cfvo type="percent" val="0"/>
        <cfvo type="percent" val="33"/>
        <cfvo type="percent" val="67"/>
      </iconSet>
    </cfRule>
  </conditionalFormatting>
  <conditionalFormatting pivot="1" sqref="K11:K16">
    <cfRule type="iconSet" priority="1">
      <iconSet iconSet="3Arrows">
        <cfvo type="percent" val="0"/>
        <cfvo type="percent" val="33"/>
        <cfvo type="percent" val="67"/>
      </iconSet>
    </cfRule>
  </conditionalFormatting>
  <pageMargins left="0.7" right="0.7" top="0.75" bottom="0.75" header="0.3" footer="0.3"/>
  <ignoredErrors>
    <ignoredError sqref="F42:F45" calculatedColumn="1"/>
  </ignoredErrors>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0E00F-9A64-419F-ADB3-EB197D731B74}">
  <sheetPr codeName="Sheet13"/>
  <dimension ref="B3:I112"/>
  <sheetViews>
    <sheetView topLeftCell="A54" zoomScale="70" zoomScaleNormal="70" workbookViewId="0">
      <selection activeCell="G63" sqref="G63"/>
    </sheetView>
  </sheetViews>
  <sheetFormatPr defaultRowHeight="14.4"/>
  <cols>
    <col min="2" max="2" width="18.88671875" bestFit="1" customWidth="1"/>
    <col min="3" max="3" width="16.6640625" bestFit="1" customWidth="1"/>
    <col min="4" max="4" width="9.6640625" bestFit="1" customWidth="1"/>
    <col min="5" max="5" width="16.6640625" bestFit="1" customWidth="1"/>
    <col min="6" max="6" width="9.6640625" bestFit="1" customWidth="1"/>
    <col min="7" max="7" width="16.6640625" bestFit="1" customWidth="1"/>
    <col min="8" max="8" width="17" bestFit="1" customWidth="1"/>
    <col min="9" max="9" width="16.6640625" bestFit="1" customWidth="1"/>
  </cols>
  <sheetData>
    <row r="3" spans="2:9">
      <c r="B3" s="96" t="s">
        <v>40</v>
      </c>
      <c r="C3" s="96"/>
      <c r="D3" s="96" t="s">
        <v>31</v>
      </c>
      <c r="E3" s="96"/>
      <c r="F3" s="96" t="s">
        <v>14</v>
      </c>
      <c r="G3" s="96"/>
      <c r="H3" s="96" t="s">
        <v>578</v>
      </c>
      <c r="I3" s="96"/>
    </row>
    <row r="4" spans="2:9">
      <c r="B4" s="44" t="s">
        <v>561</v>
      </c>
      <c r="C4" s="44" t="s">
        <v>601</v>
      </c>
      <c r="D4" s="44" t="s">
        <v>561</v>
      </c>
      <c r="E4" s="44" t="s">
        <v>601</v>
      </c>
      <c r="F4" s="44" t="s">
        <v>561</v>
      </c>
      <c r="G4" s="44" t="s">
        <v>601</v>
      </c>
      <c r="H4" s="44" t="s">
        <v>561</v>
      </c>
      <c r="I4" s="44" t="s">
        <v>601</v>
      </c>
    </row>
    <row r="5" spans="2:9">
      <c r="B5" s="41" cm="1">
        <f t="array" ref="B5:B54">_xlfn._xlws.FILTER(TBL_Engagement_summary_1[Ad_Spend], TBL_Engagement_summary_1[Platform]="Facebook")</f>
        <v>49400</v>
      </c>
      <c r="C5" s="41" cm="1">
        <f t="array" ref="C5:C54">_xlfn._xlws.FILTER(TBL_Engagement_summary_1[Engagement_Rate], TBL_Engagement_summary_1[Platform]="Facebook")</f>
        <v>4</v>
      </c>
      <c r="D5" s="41" cm="1">
        <f t="array" ref="D5:D54">_xlfn._xlws.FILTER(TBL_Engagement_summary_1[Ad_Spend], TBL_Engagement_summary_1[Platform]="Instagram")</f>
        <v>20042</v>
      </c>
      <c r="E5" s="41" cm="1">
        <f t="array" ref="E5:E54">_xlfn._xlws.FILTER(TBL_Engagement_summary_1[Engagement_Rate], TBL_Engagement_summary_1[Platform]="Instagram")</f>
        <v>1.82</v>
      </c>
      <c r="F5" s="41" cm="1">
        <f t="array" ref="F5:F54">_xlfn._xlws.FILTER(TBL_Engagement_summary_1[Ad_Spend], TBL_Engagement_summary_1[Platform]="Twitter")</f>
        <v>4007</v>
      </c>
      <c r="G5" s="41" cm="1">
        <f t="array" ref="G5:G54">_xlfn._xlws.FILTER(TBL_Engagement_summary_1[Engagement_Rate], TBL_Engagement_summary_1[Platform]="Twitter")</f>
        <v>7.57</v>
      </c>
      <c r="H5" s="41" cm="1">
        <f t="array" ref="H5:H54">_xlfn._xlws.FILTER(TBL_Engagement_summary_1[Ad_Spend], TBL_Engagement_summary_1[Platform]="Youtube")</f>
        <v>12174</v>
      </c>
      <c r="I5" s="41" cm="1">
        <f t="array" ref="I5:I54">_xlfn._xlws.FILTER(TBL_Engagement_summary_1[Engagement_Rate], TBL_Engagement_summary_1[Platform]="Youtube")</f>
        <v>6.81</v>
      </c>
    </row>
    <row r="6" spans="2:9">
      <c r="B6" s="42">
        <v>48419</v>
      </c>
      <c r="C6" s="42">
        <v>5.59</v>
      </c>
      <c r="D6" s="42">
        <v>33381</v>
      </c>
      <c r="E6" s="42">
        <v>6.09</v>
      </c>
      <c r="F6" s="42">
        <v>16149</v>
      </c>
      <c r="G6" s="42">
        <v>3.55</v>
      </c>
      <c r="H6" s="42">
        <v>7541</v>
      </c>
      <c r="I6" s="42">
        <v>5.21</v>
      </c>
    </row>
    <row r="7" spans="2:9">
      <c r="B7" s="42">
        <v>3582</v>
      </c>
      <c r="C7" s="42">
        <v>3.86</v>
      </c>
      <c r="D7" s="42">
        <v>14216</v>
      </c>
      <c r="E7" s="42">
        <v>5.69</v>
      </c>
      <c r="F7" s="42">
        <v>32500</v>
      </c>
      <c r="G7" s="42">
        <v>3.16</v>
      </c>
      <c r="H7" s="42">
        <v>6832</v>
      </c>
      <c r="I7" s="42">
        <v>1.6</v>
      </c>
    </row>
    <row r="8" spans="2:9">
      <c r="B8" s="42">
        <v>7875</v>
      </c>
      <c r="C8" s="42">
        <v>2.6</v>
      </c>
      <c r="D8" s="42">
        <v>18693</v>
      </c>
      <c r="E8" s="42">
        <v>6.8</v>
      </c>
      <c r="F8" s="42">
        <v>8471</v>
      </c>
      <c r="G8" s="42">
        <v>2.44</v>
      </c>
      <c r="H8" s="42">
        <v>14090</v>
      </c>
      <c r="I8" s="42">
        <v>3.09</v>
      </c>
    </row>
    <row r="9" spans="2:9">
      <c r="B9" s="42">
        <v>25920</v>
      </c>
      <c r="C9" s="42">
        <v>4.83</v>
      </c>
      <c r="D9" s="42">
        <v>2293</v>
      </c>
      <c r="E9" s="42">
        <v>6.73</v>
      </c>
      <c r="F9" s="42">
        <v>11035</v>
      </c>
      <c r="G9" s="42">
        <v>5.3</v>
      </c>
      <c r="H9" s="42">
        <v>20733</v>
      </c>
      <c r="I9" s="42">
        <v>6.54</v>
      </c>
    </row>
    <row r="10" spans="2:9">
      <c r="B10" s="42">
        <v>47603</v>
      </c>
      <c r="C10" s="42">
        <v>2.4900000000000002</v>
      </c>
      <c r="D10" s="42">
        <v>2436</v>
      </c>
      <c r="E10" s="42">
        <v>3.19</v>
      </c>
      <c r="F10" s="42">
        <v>42964</v>
      </c>
      <c r="G10" s="42">
        <v>4.5</v>
      </c>
      <c r="H10" s="42">
        <v>39923</v>
      </c>
      <c r="I10" s="42">
        <v>6.49</v>
      </c>
    </row>
    <row r="11" spans="2:9">
      <c r="B11" s="42">
        <v>23461</v>
      </c>
      <c r="C11" s="42">
        <v>9.4600000000000009</v>
      </c>
      <c r="D11" s="42">
        <v>23140</v>
      </c>
      <c r="E11" s="42">
        <v>6.27</v>
      </c>
      <c r="F11" s="42">
        <v>11805</v>
      </c>
      <c r="G11" s="42">
        <v>7.5</v>
      </c>
      <c r="H11" s="42">
        <v>15969</v>
      </c>
      <c r="I11" s="42">
        <v>4.7300000000000004</v>
      </c>
    </row>
    <row r="12" spans="2:9">
      <c r="B12" s="42">
        <v>21453</v>
      </c>
      <c r="C12" s="42">
        <v>8.52</v>
      </c>
      <c r="D12" s="42">
        <v>49077</v>
      </c>
      <c r="E12" s="42">
        <v>1.53</v>
      </c>
      <c r="F12" s="42">
        <v>21061</v>
      </c>
      <c r="G12" s="42">
        <v>5.53</v>
      </c>
      <c r="H12" s="42">
        <v>20059</v>
      </c>
      <c r="I12" s="42">
        <v>1.87</v>
      </c>
    </row>
    <row r="13" spans="2:9">
      <c r="B13" s="42">
        <v>29116</v>
      </c>
      <c r="C13" s="42">
        <v>4.9400000000000004</v>
      </c>
      <c r="D13" s="42">
        <v>9480</v>
      </c>
      <c r="E13" s="42">
        <v>7.74</v>
      </c>
      <c r="F13" s="42">
        <v>14068</v>
      </c>
      <c r="G13" s="42">
        <v>1.8</v>
      </c>
      <c r="H13" s="42">
        <v>35801</v>
      </c>
      <c r="I13" s="42">
        <v>8.64</v>
      </c>
    </row>
    <row r="14" spans="2:9">
      <c r="B14" s="42">
        <v>21539</v>
      </c>
      <c r="C14" s="42">
        <v>9.39</v>
      </c>
      <c r="D14" s="42">
        <v>6296</v>
      </c>
      <c r="E14" s="42">
        <v>7.23</v>
      </c>
      <c r="F14" s="42">
        <v>14722</v>
      </c>
      <c r="G14" s="42">
        <v>5.12</v>
      </c>
      <c r="H14" s="42">
        <v>11383</v>
      </c>
      <c r="I14" s="42">
        <v>6.11</v>
      </c>
    </row>
    <row r="15" spans="2:9">
      <c r="B15" s="42">
        <v>20553</v>
      </c>
      <c r="C15" s="42">
        <v>4.55</v>
      </c>
      <c r="D15" s="42">
        <v>33799</v>
      </c>
      <c r="E15" s="42">
        <v>8.6199999999999992</v>
      </c>
      <c r="F15" s="42">
        <v>10002</v>
      </c>
      <c r="G15" s="42">
        <v>8.33</v>
      </c>
      <c r="H15" s="42">
        <v>30987</v>
      </c>
      <c r="I15" s="42">
        <v>9.4</v>
      </c>
    </row>
    <row r="16" spans="2:9">
      <c r="B16" s="42">
        <v>22713</v>
      </c>
      <c r="C16" s="42">
        <v>7.8</v>
      </c>
      <c r="D16" s="42">
        <v>49772</v>
      </c>
      <c r="E16" s="42">
        <v>4.34</v>
      </c>
      <c r="F16" s="42">
        <v>8718</v>
      </c>
      <c r="G16" s="42">
        <v>3.85</v>
      </c>
      <c r="H16" s="42">
        <v>39031</v>
      </c>
      <c r="I16" s="42">
        <v>6.58</v>
      </c>
    </row>
    <row r="17" spans="2:9">
      <c r="B17" s="42">
        <v>31853</v>
      </c>
      <c r="C17" s="42">
        <v>3.85</v>
      </c>
      <c r="D17" s="42">
        <v>44097</v>
      </c>
      <c r="E17" s="42">
        <v>2.86</v>
      </c>
      <c r="F17" s="42">
        <v>37636</v>
      </c>
      <c r="G17" s="42">
        <v>7.3</v>
      </c>
      <c r="H17" s="42">
        <v>22996</v>
      </c>
      <c r="I17" s="42">
        <v>9.08</v>
      </c>
    </row>
    <row r="18" spans="2:9">
      <c r="B18" s="42">
        <v>23489</v>
      </c>
      <c r="C18" s="42">
        <v>8.0299999999999994</v>
      </c>
      <c r="D18" s="42">
        <v>3314</v>
      </c>
      <c r="E18" s="42">
        <v>4.6100000000000003</v>
      </c>
      <c r="F18" s="42">
        <v>42832</v>
      </c>
      <c r="G18" s="42">
        <v>6.99</v>
      </c>
      <c r="H18" s="42">
        <v>24494</v>
      </c>
      <c r="I18" s="42">
        <v>9.0299999999999994</v>
      </c>
    </row>
    <row r="19" spans="2:9">
      <c r="B19" s="42">
        <v>40323</v>
      </c>
      <c r="C19" s="42">
        <v>8.6999999999999993</v>
      </c>
      <c r="D19" s="42">
        <v>10825</v>
      </c>
      <c r="E19" s="42">
        <v>3.89</v>
      </c>
      <c r="F19" s="42">
        <v>48270</v>
      </c>
      <c r="G19" s="42">
        <v>6.95</v>
      </c>
      <c r="H19" s="42">
        <v>18001</v>
      </c>
      <c r="I19" s="42">
        <v>9.48</v>
      </c>
    </row>
    <row r="20" spans="2:9">
      <c r="B20" s="42">
        <v>20560</v>
      </c>
      <c r="C20" s="42">
        <v>6.37</v>
      </c>
      <c r="D20" s="42">
        <v>25525</v>
      </c>
      <c r="E20" s="42">
        <v>9.23</v>
      </c>
      <c r="F20" s="42">
        <v>19119</v>
      </c>
      <c r="G20" s="42">
        <v>2.0099999999999998</v>
      </c>
      <c r="H20" s="42">
        <v>43999</v>
      </c>
      <c r="I20" s="42">
        <v>3.72</v>
      </c>
    </row>
    <row r="21" spans="2:9">
      <c r="B21" s="42">
        <v>23853</v>
      </c>
      <c r="C21" s="42">
        <v>4.51</v>
      </c>
      <c r="D21" s="42">
        <v>43122</v>
      </c>
      <c r="E21" s="42">
        <v>9.24</v>
      </c>
      <c r="F21" s="42">
        <v>45380</v>
      </c>
      <c r="G21" s="42">
        <v>5.23</v>
      </c>
      <c r="H21" s="42">
        <v>7705</v>
      </c>
      <c r="I21" s="42">
        <v>4.68</v>
      </c>
    </row>
    <row r="22" spans="2:9">
      <c r="B22" s="42">
        <v>45708</v>
      </c>
      <c r="C22" s="42">
        <v>5.61</v>
      </c>
      <c r="D22" s="42">
        <v>14548</v>
      </c>
      <c r="E22" s="42">
        <v>3.3</v>
      </c>
      <c r="F22" s="42">
        <v>12350</v>
      </c>
      <c r="G22" s="42">
        <v>2.56</v>
      </c>
      <c r="H22" s="42">
        <v>40868</v>
      </c>
      <c r="I22" s="42">
        <v>3.29</v>
      </c>
    </row>
    <row r="23" spans="2:9">
      <c r="B23" s="42">
        <v>17951</v>
      </c>
      <c r="C23" s="42">
        <v>8.1999999999999993</v>
      </c>
      <c r="D23" s="42">
        <v>37132</v>
      </c>
      <c r="E23" s="42">
        <v>5.3</v>
      </c>
      <c r="F23" s="42">
        <v>2798</v>
      </c>
      <c r="G23" s="42">
        <v>2.2200000000000002</v>
      </c>
      <c r="H23" s="42">
        <v>15045</v>
      </c>
      <c r="I23" s="42">
        <v>8.33</v>
      </c>
    </row>
    <row r="24" spans="2:9">
      <c r="B24" s="42">
        <v>25140</v>
      </c>
      <c r="C24" s="42">
        <v>3.09</v>
      </c>
      <c r="D24" s="42">
        <v>4313</v>
      </c>
      <c r="E24" s="42">
        <v>1.76</v>
      </c>
      <c r="F24" s="42">
        <v>9118</v>
      </c>
      <c r="G24" s="42">
        <v>4.68</v>
      </c>
      <c r="H24" s="42">
        <v>39931</v>
      </c>
      <c r="I24" s="42">
        <v>4.4800000000000004</v>
      </c>
    </row>
    <row r="25" spans="2:9">
      <c r="B25" s="42">
        <v>47502</v>
      </c>
      <c r="C25" s="42">
        <v>2.02</v>
      </c>
      <c r="D25" s="42">
        <v>4683</v>
      </c>
      <c r="E25" s="42">
        <v>8.44</v>
      </c>
      <c r="F25" s="42">
        <v>35359</v>
      </c>
      <c r="G25" s="42">
        <v>7.74</v>
      </c>
      <c r="H25" s="42">
        <v>14154</v>
      </c>
      <c r="I25" s="42">
        <v>2.89</v>
      </c>
    </row>
    <row r="26" spans="2:9">
      <c r="B26" s="42">
        <v>18656</v>
      </c>
      <c r="C26" s="42">
        <v>8.11</v>
      </c>
      <c r="D26" s="42">
        <v>20692</v>
      </c>
      <c r="E26" s="42">
        <v>3.32</v>
      </c>
      <c r="F26" s="42">
        <v>13316</v>
      </c>
      <c r="G26" s="42">
        <v>6.66</v>
      </c>
      <c r="H26" s="42">
        <v>49558</v>
      </c>
      <c r="I26" s="42">
        <v>8.09</v>
      </c>
    </row>
    <row r="27" spans="2:9">
      <c r="B27" s="42">
        <v>18601</v>
      </c>
      <c r="C27" s="42">
        <v>7.47</v>
      </c>
      <c r="D27" s="42">
        <v>22724</v>
      </c>
      <c r="E27" s="42">
        <v>1.81</v>
      </c>
      <c r="F27" s="42">
        <v>20861</v>
      </c>
      <c r="G27" s="42">
        <v>4.2</v>
      </c>
      <c r="H27" s="42">
        <v>46625</v>
      </c>
      <c r="I27" s="42">
        <v>5.43</v>
      </c>
    </row>
    <row r="28" spans="2:9">
      <c r="B28" s="42">
        <v>26103</v>
      </c>
      <c r="C28" s="42">
        <v>4.79</v>
      </c>
      <c r="D28" s="42">
        <v>36103</v>
      </c>
      <c r="E28" s="42">
        <v>3.79</v>
      </c>
      <c r="F28" s="42">
        <v>3455</v>
      </c>
      <c r="G28" s="42">
        <v>6.37</v>
      </c>
      <c r="H28" s="42">
        <v>40888</v>
      </c>
      <c r="I28" s="42">
        <v>2.65</v>
      </c>
    </row>
    <row r="29" spans="2:9">
      <c r="B29" s="42">
        <v>28498</v>
      </c>
      <c r="C29" s="42">
        <v>6.2</v>
      </c>
      <c r="D29" s="42">
        <v>1810</v>
      </c>
      <c r="E29" s="42">
        <v>5.17</v>
      </c>
      <c r="F29" s="42">
        <v>39530</v>
      </c>
      <c r="G29" s="42">
        <v>2.69</v>
      </c>
      <c r="H29" s="42">
        <v>37876</v>
      </c>
      <c r="I29" s="42">
        <v>8.9</v>
      </c>
    </row>
    <row r="30" spans="2:9">
      <c r="B30" s="42">
        <v>39997</v>
      </c>
      <c r="C30" s="42">
        <v>2.68</v>
      </c>
      <c r="D30" s="42">
        <v>29533</v>
      </c>
      <c r="E30" s="42">
        <v>9.41</v>
      </c>
      <c r="F30" s="42">
        <v>5391</v>
      </c>
      <c r="G30" s="42">
        <v>7.32</v>
      </c>
      <c r="H30" s="42">
        <v>22373</v>
      </c>
      <c r="I30" s="42">
        <v>4.68</v>
      </c>
    </row>
    <row r="31" spans="2:9">
      <c r="B31" s="42">
        <v>38452</v>
      </c>
      <c r="C31" s="42">
        <v>8.6999999999999993</v>
      </c>
      <c r="D31" s="42">
        <v>47812</v>
      </c>
      <c r="E31" s="42">
        <v>4.66</v>
      </c>
      <c r="F31" s="42">
        <v>30428</v>
      </c>
      <c r="G31" s="42">
        <v>2.46</v>
      </c>
      <c r="H31" s="42">
        <v>9269</v>
      </c>
      <c r="I31" s="42">
        <v>7.97</v>
      </c>
    </row>
    <row r="32" spans="2:9">
      <c r="B32" s="42">
        <v>4996</v>
      </c>
      <c r="C32" s="42">
        <v>3.32</v>
      </c>
      <c r="D32" s="42">
        <v>36484</v>
      </c>
      <c r="E32" s="42">
        <v>6.85</v>
      </c>
      <c r="F32" s="42">
        <v>36095</v>
      </c>
      <c r="G32" s="42">
        <v>5.68</v>
      </c>
      <c r="H32" s="42">
        <v>16443</v>
      </c>
      <c r="I32" s="42">
        <v>6.08</v>
      </c>
    </row>
    <row r="33" spans="2:9">
      <c r="B33" s="42">
        <v>30214</v>
      </c>
      <c r="C33" s="42">
        <v>4.46</v>
      </c>
      <c r="D33" s="42">
        <v>13116</v>
      </c>
      <c r="E33" s="42">
        <v>5.85</v>
      </c>
      <c r="F33" s="42">
        <v>15827</v>
      </c>
      <c r="G33" s="42">
        <v>5.22</v>
      </c>
      <c r="H33" s="42">
        <v>46643</v>
      </c>
      <c r="I33" s="42">
        <v>1.99</v>
      </c>
    </row>
    <row r="34" spans="2:9">
      <c r="B34" s="42">
        <v>42824</v>
      </c>
      <c r="C34" s="42">
        <v>3.16</v>
      </c>
      <c r="D34" s="42">
        <v>32478</v>
      </c>
      <c r="E34" s="42">
        <v>6.5</v>
      </c>
      <c r="F34" s="42">
        <v>21208</v>
      </c>
      <c r="G34" s="42">
        <v>8.25</v>
      </c>
      <c r="H34" s="42">
        <v>44321</v>
      </c>
      <c r="I34" s="42">
        <v>5.41</v>
      </c>
    </row>
    <row r="35" spans="2:9">
      <c r="B35" s="42">
        <v>7285</v>
      </c>
      <c r="C35" s="42">
        <v>3.88</v>
      </c>
      <c r="D35" s="42">
        <v>36397</v>
      </c>
      <c r="E35" s="42">
        <v>8.9</v>
      </c>
      <c r="F35" s="42">
        <v>33174</v>
      </c>
      <c r="G35" s="42">
        <v>5.9</v>
      </c>
      <c r="H35" s="42">
        <v>6742</v>
      </c>
      <c r="I35" s="42">
        <v>1.53</v>
      </c>
    </row>
    <row r="36" spans="2:9">
      <c r="B36" s="42">
        <v>43836</v>
      </c>
      <c r="C36" s="42">
        <v>1.75</v>
      </c>
      <c r="D36" s="42">
        <v>41215</v>
      </c>
      <c r="E36" s="42">
        <v>6.25</v>
      </c>
      <c r="F36" s="42">
        <v>4509</v>
      </c>
      <c r="G36" s="42">
        <v>4.97</v>
      </c>
      <c r="H36" s="42">
        <v>27822</v>
      </c>
      <c r="I36" s="42">
        <v>9.3000000000000007</v>
      </c>
    </row>
    <row r="37" spans="2:9">
      <c r="B37" s="42">
        <v>2315</v>
      </c>
      <c r="C37" s="42">
        <v>1.77</v>
      </c>
      <c r="D37" s="42">
        <v>30575</v>
      </c>
      <c r="E37" s="42">
        <v>3.3</v>
      </c>
      <c r="F37" s="42">
        <v>12148</v>
      </c>
      <c r="G37" s="42">
        <v>2.09</v>
      </c>
      <c r="H37" s="42">
        <v>36851</v>
      </c>
      <c r="I37" s="42">
        <v>7.36</v>
      </c>
    </row>
    <row r="38" spans="2:9">
      <c r="B38" s="42">
        <v>11901</v>
      </c>
      <c r="C38" s="42">
        <v>7.36</v>
      </c>
      <c r="D38" s="42">
        <v>1083</v>
      </c>
      <c r="E38" s="42">
        <v>2.36</v>
      </c>
      <c r="F38" s="42">
        <v>24018</v>
      </c>
      <c r="G38" s="42">
        <v>8.5500000000000007</v>
      </c>
      <c r="H38" s="42">
        <v>38883</v>
      </c>
      <c r="I38" s="42">
        <v>8.1300000000000008</v>
      </c>
    </row>
    <row r="39" spans="2:9">
      <c r="B39" s="42">
        <v>47462</v>
      </c>
      <c r="C39" s="42">
        <v>9.1999999999999993</v>
      </c>
      <c r="D39" s="42">
        <v>21939</v>
      </c>
      <c r="E39" s="42">
        <v>3.4</v>
      </c>
      <c r="F39" s="42">
        <v>30270</v>
      </c>
      <c r="G39" s="42">
        <v>8.59</v>
      </c>
      <c r="H39" s="42">
        <v>5442</v>
      </c>
      <c r="I39" s="42">
        <v>3.5</v>
      </c>
    </row>
    <row r="40" spans="2:9">
      <c r="B40" s="42">
        <v>40478</v>
      </c>
      <c r="C40" s="42">
        <v>1.76</v>
      </c>
      <c r="D40" s="42">
        <v>26663</v>
      </c>
      <c r="E40" s="42">
        <v>9.09</v>
      </c>
      <c r="F40" s="42">
        <v>15476</v>
      </c>
      <c r="G40" s="42">
        <v>9.24</v>
      </c>
      <c r="H40" s="42">
        <v>10217</v>
      </c>
      <c r="I40" s="42">
        <v>8.99</v>
      </c>
    </row>
    <row r="41" spans="2:9">
      <c r="B41" s="42">
        <v>24384</v>
      </c>
      <c r="C41" s="42">
        <v>6.41</v>
      </c>
      <c r="D41" s="42">
        <v>37829</v>
      </c>
      <c r="E41" s="42">
        <v>7.16</v>
      </c>
      <c r="F41" s="42">
        <v>25797</v>
      </c>
      <c r="G41" s="42">
        <v>8.02</v>
      </c>
      <c r="H41" s="42">
        <v>12646</v>
      </c>
      <c r="I41" s="42">
        <v>3.86</v>
      </c>
    </row>
    <row r="42" spans="2:9">
      <c r="B42" s="42">
        <v>26925</v>
      </c>
      <c r="C42" s="42">
        <v>9.0399999999999991</v>
      </c>
      <c r="D42" s="42">
        <v>24913</v>
      </c>
      <c r="E42" s="42">
        <v>5.71</v>
      </c>
      <c r="F42" s="42">
        <v>9942</v>
      </c>
      <c r="G42" s="42">
        <v>3.91</v>
      </c>
      <c r="H42" s="42">
        <v>32929</v>
      </c>
      <c r="I42" s="42">
        <v>7.83</v>
      </c>
    </row>
    <row r="43" spans="2:9">
      <c r="B43" s="42">
        <v>14203</v>
      </c>
      <c r="C43" s="42">
        <v>8.84</v>
      </c>
      <c r="D43" s="42">
        <v>35501</v>
      </c>
      <c r="E43" s="42">
        <v>3.25</v>
      </c>
      <c r="F43" s="42">
        <v>22206</v>
      </c>
      <c r="G43" s="42">
        <v>7.24</v>
      </c>
      <c r="H43" s="42">
        <v>10283</v>
      </c>
      <c r="I43" s="42">
        <v>6.19</v>
      </c>
    </row>
    <row r="44" spans="2:9">
      <c r="B44" s="42">
        <v>37903</v>
      </c>
      <c r="C44" s="42">
        <v>6.01</v>
      </c>
      <c r="D44" s="42">
        <v>47101</v>
      </c>
      <c r="E44" s="42">
        <v>6.23</v>
      </c>
      <c r="F44" s="42">
        <v>33258</v>
      </c>
      <c r="G44" s="42">
        <v>8.5500000000000007</v>
      </c>
      <c r="H44" s="42">
        <v>6915</v>
      </c>
      <c r="I44" s="42">
        <v>5.42</v>
      </c>
    </row>
    <row r="45" spans="2:9">
      <c r="B45" s="42">
        <v>26455</v>
      </c>
      <c r="C45" s="42">
        <v>6.11</v>
      </c>
      <c r="D45" s="42">
        <v>49303</v>
      </c>
      <c r="E45" s="42">
        <v>7.83</v>
      </c>
      <c r="F45" s="42">
        <v>12384</v>
      </c>
      <c r="G45" s="42">
        <v>9.43</v>
      </c>
      <c r="H45" s="42">
        <v>49372</v>
      </c>
      <c r="I45" s="42">
        <v>4.04</v>
      </c>
    </row>
    <row r="46" spans="2:9">
      <c r="B46" s="42">
        <v>4839</v>
      </c>
      <c r="C46" s="42">
        <v>7.73</v>
      </c>
      <c r="D46" s="42">
        <v>15353</v>
      </c>
      <c r="E46" s="42">
        <v>4.05</v>
      </c>
      <c r="F46" s="42">
        <v>39272</v>
      </c>
      <c r="G46" s="42">
        <v>4.3600000000000003</v>
      </c>
      <c r="H46" s="42">
        <v>16804</v>
      </c>
      <c r="I46" s="42">
        <v>3.48</v>
      </c>
    </row>
    <row r="47" spans="2:9">
      <c r="B47" s="42">
        <v>26067</v>
      </c>
      <c r="C47" s="42">
        <v>7.86</v>
      </c>
      <c r="D47" s="42">
        <v>17328</v>
      </c>
      <c r="E47" s="42">
        <v>7.88</v>
      </c>
      <c r="F47" s="42">
        <v>32763</v>
      </c>
      <c r="G47" s="42">
        <v>5.34</v>
      </c>
      <c r="H47" s="42">
        <v>26452</v>
      </c>
      <c r="I47" s="42">
        <v>5.52</v>
      </c>
    </row>
    <row r="48" spans="2:9">
      <c r="B48" s="42">
        <v>43420</v>
      </c>
      <c r="C48" s="42">
        <v>6.44</v>
      </c>
      <c r="D48" s="42">
        <v>10740</v>
      </c>
      <c r="E48" s="42">
        <v>3.74</v>
      </c>
      <c r="F48" s="42">
        <v>32393</v>
      </c>
      <c r="G48" s="42">
        <v>8.56</v>
      </c>
      <c r="H48" s="42">
        <v>28474</v>
      </c>
      <c r="I48" s="42">
        <v>4.5599999999999996</v>
      </c>
    </row>
    <row r="49" spans="2:9">
      <c r="B49" s="42">
        <v>38610</v>
      </c>
      <c r="C49" s="42">
        <v>1.91</v>
      </c>
      <c r="D49" s="42">
        <v>22728</v>
      </c>
      <c r="E49" s="42">
        <v>8.74</v>
      </c>
      <c r="F49" s="42">
        <v>2932</v>
      </c>
      <c r="G49" s="42">
        <v>4.66</v>
      </c>
      <c r="H49" s="42">
        <v>15071</v>
      </c>
      <c r="I49" s="42">
        <v>2.88</v>
      </c>
    </row>
    <row r="50" spans="2:9">
      <c r="B50" s="42">
        <v>42307</v>
      </c>
      <c r="C50" s="42">
        <v>4.4800000000000004</v>
      </c>
      <c r="D50" s="42">
        <v>9566</v>
      </c>
      <c r="E50" s="42">
        <v>9.36</v>
      </c>
      <c r="F50" s="42">
        <v>5914</v>
      </c>
      <c r="G50" s="42">
        <v>6.19</v>
      </c>
      <c r="H50" s="42">
        <v>30060</v>
      </c>
      <c r="I50" s="42">
        <v>8.7200000000000006</v>
      </c>
    </row>
    <row r="51" spans="2:9">
      <c r="B51" s="42">
        <v>30635</v>
      </c>
      <c r="C51" s="42">
        <v>9.1199999999999992</v>
      </c>
      <c r="D51" s="42">
        <v>18050</v>
      </c>
      <c r="E51" s="42">
        <v>6.92</v>
      </c>
      <c r="F51" s="42">
        <v>31280</v>
      </c>
      <c r="G51" s="42">
        <v>3.5</v>
      </c>
      <c r="H51" s="42">
        <v>1783</v>
      </c>
      <c r="I51" s="42">
        <v>2.62</v>
      </c>
    </row>
    <row r="52" spans="2:9">
      <c r="B52" s="42">
        <v>46670</v>
      </c>
      <c r="C52" s="42">
        <v>8.11</v>
      </c>
      <c r="D52" s="42">
        <v>11329</v>
      </c>
      <c r="E52" s="42">
        <v>2.46</v>
      </c>
      <c r="F52" s="42">
        <v>22482</v>
      </c>
      <c r="G52" s="42">
        <v>8.19</v>
      </c>
      <c r="H52" s="42">
        <v>24313</v>
      </c>
      <c r="I52" s="42">
        <v>3.49</v>
      </c>
    </row>
    <row r="53" spans="2:9">
      <c r="B53" s="42">
        <v>7924</v>
      </c>
      <c r="C53" s="42">
        <v>2.37</v>
      </c>
      <c r="D53" s="42">
        <v>9920</v>
      </c>
      <c r="E53" s="42">
        <v>9.0500000000000007</v>
      </c>
      <c r="F53" s="42">
        <v>8912</v>
      </c>
      <c r="G53" s="42">
        <v>4.01</v>
      </c>
      <c r="H53" s="42">
        <v>21205</v>
      </c>
      <c r="I53" s="42">
        <v>3.16</v>
      </c>
    </row>
    <row r="54" spans="2:9">
      <c r="B54" s="42">
        <v>9566</v>
      </c>
      <c r="C54" s="42">
        <v>4.9800000000000004</v>
      </c>
      <c r="D54" s="42">
        <v>5904</v>
      </c>
      <c r="E54" s="42">
        <v>8.06</v>
      </c>
      <c r="F54" s="42">
        <v>26752</v>
      </c>
      <c r="G54" s="42">
        <v>8.31</v>
      </c>
      <c r="H54" s="42">
        <v>30671</v>
      </c>
      <c r="I54" s="42">
        <v>4.1100000000000003</v>
      </c>
    </row>
    <row r="61" spans="2:9" ht="28.8">
      <c r="B61" s="87" t="s">
        <v>621</v>
      </c>
      <c r="C61" s="88" t="s">
        <v>595</v>
      </c>
      <c r="D61" s="88"/>
      <c r="E61" s="88"/>
      <c r="F61" s="88"/>
      <c r="G61" s="88"/>
      <c r="H61" s="89"/>
    </row>
    <row r="62" spans="2:9">
      <c r="B62" s="88" t="s">
        <v>580</v>
      </c>
      <c r="C62" s="88" t="s">
        <v>40</v>
      </c>
      <c r="D62" s="88" t="s">
        <v>31</v>
      </c>
      <c r="E62" s="88" t="s">
        <v>14</v>
      </c>
      <c r="F62" s="88" t="s">
        <v>27</v>
      </c>
      <c r="G62" s="88" t="s">
        <v>581</v>
      </c>
      <c r="H62" s="90" t="s">
        <v>668</v>
      </c>
    </row>
    <row r="63" spans="2:9">
      <c r="B63" s="84">
        <v>45446</v>
      </c>
      <c r="C63">
        <v>1002</v>
      </c>
      <c r="D63">
        <v>1047</v>
      </c>
      <c r="E63">
        <v>415</v>
      </c>
      <c r="F63">
        <v>1090</v>
      </c>
      <c r="G63">
        <v>3554</v>
      </c>
      <c r="H63" s="86"/>
    </row>
    <row r="64" spans="2:9">
      <c r="B64" s="84">
        <v>45453</v>
      </c>
      <c r="C64">
        <v>1283</v>
      </c>
      <c r="D64">
        <v>517</v>
      </c>
      <c r="E64">
        <v>186</v>
      </c>
      <c r="F64">
        <v>994</v>
      </c>
      <c r="G64">
        <v>2980</v>
      </c>
      <c r="H64" s="86"/>
    </row>
    <row r="65" spans="2:8">
      <c r="B65" s="84">
        <v>45460</v>
      </c>
      <c r="C65">
        <v>1382</v>
      </c>
      <c r="D65">
        <v>893</v>
      </c>
      <c r="E65">
        <v>1295</v>
      </c>
      <c r="F65">
        <v>337</v>
      </c>
      <c r="G65">
        <v>3907</v>
      </c>
      <c r="H65" s="86">
        <v>3480.3333333333335</v>
      </c>
    </row>
    <row r="66" spans="2:8">
      <c r="B66" s="84">
        <v>45467</v>
      </c>
      <c r="C66">
        <v>1670</v>
      </c>
      <c r="D66">
        <v>629</v>
      </c>
      <c r="E66">
        <v>835</v>
      </c>
      <c r="F66">
        <v>-123</v>
      </c>
      <c r="G66">
        <v>3011</v>
      </c>
      <c r="H66" s="86">
        <v>3299.3333333333335</v>
      </c>
    </row>
    <row r="67" spans="2:8">
      <c r="B67" s="84">
        <v>45474</v>
      </c>
      <c r="C67">
        <v>64</v>
      </c>
      <c r="D67">
        <v>-219</v>
      </c>
      <c r="E67">
        <v>1357</v>
      </c>
      <c r="F67">
        <v>91</v>
      </c>
      <c r="G67">
        <v>1293</v>
      </c>
      <c r="H67" s="86">
        <v>2737</v>
      </c>
    </row>
    <row r="68" spans="2:8">
      <c r="B68" s="84">
        <v>45481</v>
      </c>
      <c r="C68">
        <v>309</v>
      </c>
      <c r="D68">
        <v>1672</v>
      </c>
      <c r="E68">
        <v>547</v>
      </c>
      <c r="F68">
        <v>514</v>
      </c>
      <c r="G68">
        <v>3042</v>
      </c>
      <c r="H68" s="86">
        <v>2448.6666666666665</v>
      </c>
    </row>
    <row r="69" spans="2:8">
      <c r="B69" s="84">
        <v>45488</v>
      </c>
      <c r="C69">
        <v>-164</v>
      </c>
      <c r="D69">
        <v>1845</v>
      </c>
      <c r="E69">
        <v>429</v>
      </c>
      <c r="F69">
        <v>160</v>
      </c>
      <c r="G69">
        <v>2270</v>
      </c>
      <c r="H69" s="86">
        <v>2201.6666666666665</v>
      </c>
    </row>
    <row r="70" spans="2:8">
      <c r="B70" s="84">
        <v>45495</v>
      </c>
      <c r="C70">
        <v>961</v>
      </c>
      <c r="D70">
        <v>159</v>
      </c>
      <c r="E70">
        <v>1316</v>
      </c>
      <c r="F70">
        <v>317</v>
      </c>
      <c r="G70">
        <v>2753</v>
      </c>
      <c r="H70" s="86">
        <v>2688.3333333333335</v>
      </c>
    </row>
    <row r="71" spans="2:8">
      <c r="B71" s="84">
        <v>45502</v>
      </c>
      <c r="C71">
        <v>-318</v>
      </c>
      <c r="D71">
        <v>541</v>
      </c>
      <c r="E71">
        <v>1495</v>
      </c>
      <c r="F71">
        <v>475</v>
      </c>
      <c r="G71">
        <v>2193</v>
      </c>
      <c r="H71" s="86">
        <v>2405.3333333333335</v>
      </c>
    </row>
    <row r="72" spans="2:8">
      <c r="B72" s="84">
        <v>45509</v>
      </c>
      <c r="C72">
        <v>-197</v>
      </c>
      <c r="D72">
        <v>352</v>
      </c>
      <c r="E72">
        <v>328</v>
      </c>
      <c r="F72">
        <v>319</v>
      </c>
      <c r="G72">
        <v>802</v>
      </c>
      <c r="H72" s="86">
        <v>1916</v>
      </c>
    </row>
    <row r="73" spans="2:8">
      <c r="B73" s="84">
        <v>45516</v>
      </c>
      <c r="C73">
        <v>1334</v>
      </c>
      <c r="D73">
        <v>1325</v>
      </c>
      <c r="E73">
        <v>37</v>
      </c>
      <c r="F73">
        <v>1032</v>
      </c>
      <c r="G73">
        <v>3728</v>
      </c>
      <c r="H73" s="86">
        <v>2241</v>
      </c>
    </row>
    <row r="74" spans="2:8">
      <c r="B74" s="84">
        <v>45523</v>
      </c>
      <c r="C74">
        <v>1058</v>
      </c>
      <c r="D74">
        <v>76</v>
      </c>
      <c r="E74">
        <v>1665</v>
      </c>
      <c r="F74">
        <v>190</v>
      </c>
      <c r="G74">
        <v>2989</v>
      </c>
      <c r="H74" s="86">
        <v>2506.3333333333335</v>
      </c>
    </row>
    <row r="75" spans="2:8">
      <c r="B75" s="84">
        <v>45530</v>
      </c>
      <c r="C75">
        <v>37</v>
      </c>
      <c r="D75">
        <v>1609</v>
      </c>
      <c r="E75">
        <v>1229</v>
      </c>
      <c r="F75">
        <v>28</v>
      </c>
      <c r="G75">
        <v>2903</v>
      </c>
      <c r="H75" s="86">
        <v>3206.6666666666665</v>
      </c>
    </row>
    <row r="76" spans="2:8">
      <c r="B76" s="84">
        <v>45537</v>
      </c>
      <c r="C76">
        <v>1045</v>
      </c>
      <c r="D76">
        <v>1247</v>
      </c>
      <c r="E76">
        <v>197</v>
      </c>
      <c r="F76">
        <v>333</v>
      </c>
      <c r="G76">
        <v>2822</v>
      </c>
      <c r="H76" s="86">
        <v>2904.6666666666665</v>
      </c>
    </row>
    <row r="77" spans="2:8">
      <c r="B77" s="84">
        <v>45544</v>
      </c>
      <c r="C77">
        <v>1428</v>
      </c>
      <c r="D77">
        <v>1572</v>
      </c>
      <c r="E77">
        <v>260</v>
      </c>
      <c r="F77">
        <v>1100</v>
      </c>
      <c r="G77">
        <v>4360</v>
      </c>
      <c r="H77" s="86">
        <v>3361.6666666666665</v>
      </c>
    </row>
    <row r="78" spans="2:8">
      <c r="B78" s="84">
        <v>45551</v>
      </c>
      <c r="C78">
        <v>98</v>
      </c>
      <c r="D78">
        <v>377</v>
      </c>
      <c r="E78">
        <v>1125</v>
      </c>
      <c r="F78">
        <v>-32</v>
      </c>
      <c r="G78">
        <v>1568</v>
      </c>
      <c r="H78" s="86">
        <v>2916.6666666666665</v>
      </c>
    </row>
    <row r="79" spans="2:8">
      <c r="B79" s="84">
        <v>45558</v>
      </c>
      <c r="C79">
        <v>-19</v>
      </c>
      <c r="D79">
        <v>666</v>
      </c>
      <c r="E79">
        <v>1680</v>
      </c>
      <c r="F79">
        <v>1006</v>
      </c>
      <c r="G79">
        <v>3333</v>
      </c>
      <c r="H79" s="86">
        <v>3087</v>
      </c>
    </row>
    <row r="80" spans="2:8">
      <c r="B80" s="84">
        <v>45565</v>
      </c>
      <c r="C80">
        <v>-179</v>
      </c>
      <c r="D80">
        <v>1025</v>
      </c>
      <c r="E80">
        <v>599</v>
      </c>
      <c r="F80">
        <v>1706</v>
      </c>
      <c r="G80">
        <v>3151</v>
      </c>
      <c r="H80" s="86">
        <v>2684</v>
      </c>
    </row>
    <row r="81" spans="2:8">
      <c r="B81" s="84">
        <v>45572</v>
      </c>
      <c r="C81">
        <v>1662</v>
      </c>
      <c r="D81">
        <v>1872</v>
      </c>
      <c r="E81">
        <v>107</v>
      </c>
      <c r="F81">
        <v>118</v>
      </c>
      <c r="G81">
        <v>3759</v>
      </c>
      <c r="H81" s="86">
        <v>3414.3333333333335</v>
      </c>
    </row>
    <row r="82" spans="2:8">
      <c r="B82" s="84">
        <v>45579</v>
      </c>
      <c r="C82">
        <v>285</v>
      </c>
      <c r="D82">
        <v>1224</v>
      </c>
      <c r="E82">
        <v>-20</v>
      </c>
      <c r="F82">
        <v>367</v>
      </c>
      <c r="G82">
        <v>1856</v>
      </c>
      <c r="H82" s="86">
        <v>2922</v>
      </c>
    </row>
    <row r="83" spans="2:8">
      <c r="B83" s="84">
        <v>45586</v>
      </c>
      <c r="C83">
        <v>439</v>
      </c>
      <c r="D83">
        <v>262</v>
      </c>
      <c r="E83">
        <v>636</v>
      </c>
      <c r="F83">
        <v>1484</v>
      </c>
      <c r="G83">
        <v>2821</v>
      </c>
      <c r="H83" s="86">
        <v>2812</v>
      </c>
    </row>
    <row r="84" spans="2:8">
      <c r="B84" s="84">
        <v>45593</v>
      </c>
      <c r="C84">
        <v>386</v>
      </c>
      <c r="D84">
        <v>576</v>
      </c>
      <c r="E84">
        <v>37</v>
      </c>
      <c r="F84">
        <v>1657</v>
      </c>
      <c r="G84">
        <v>2656</v>
      </c>
      <c r="H84" s="86">
        <v>2444.3333333333335</v>
      </c>
    </row>
    <row r="85" spans="2:8">
      <c r="B85" s="84">
        <v>45600</v>
      </c>
      <c r="C85">
        <v>540</v>
      </c>
      <c r="D85">
        <v>1397</v>
      </c>
      <c r="E85">
        <v>1603</v>
      </c>
      <c r="F85">
        <v>1044</v>
      </c>
      <c r="G85">
        <v>4584</v>
      </c>
      <c r="H85" s="86">
        <v>3353.6666666666665</v>
      </c>
    </row>
    <row r="86" spans="2:8">
      <c r="B86" s="84">
        <v>45607</v>
      </c>
      <c r="C86">
        <v>-106</v>
      </c>
      <c r="D86">
        <v>902</v>
      </c>
      <c r="E86">
        <v>1150</v>
      </c>
      <c r="F86">
        <v>349</v>
      </c>
      <c r="G86">
        <v>2295</v>
      </c>
      <c r="H86" s="86">
        <v>3178.3333333333335</v>
      </c>
    </row>
    <row r="87" spans="2:8">
      <c r="B87" s="84">
        <v>45614</v>
      </c>
      <c r="C87">
        <v>72</v>
      </c>
      <c r="D87">
        <v>-49</v>
      </c>
      <c r="E87">
        <v>445</v>
      </c>
      <c r="F87">
        <v>60</v>
      </c>
      <c r="G87">
        <v>528</v>
      </c>
      <c r="H87" s="86">
        <v>2469</v>
      </c>
    </row>
    <row r="88" spans="2:8">
      <c r="B88" s="84">
        <v>45621</v>
      </c>
      <c r="C88">
        <v>1332</v>
      </c>
      <c r="D88">
        <v>1693</v>
      </c>
      <c r="E88">
        <v>98</v>
      </c>
      <c r="F88">
        <v>885</v>
      </c>
      <c r="G88">
        <v>4008</v>
      </c>
      <c r="H88" s="86">
        <v>2277</v>
      </c>
    </row>
    <row r="89" spans="2:8">
      <c r="B89" s="84">
        <v>45628</v>
      </c>
      <c r="C89">
        <v>1706</v>
      </c>
      <c r="D89">
        <v>1625</v>
      </c>
      <c r="E89">
        <v>1173</v>
      </c>
      <c r="F89">
        <v>291</v>
      </c>
      <c r="G89">
        <v>4795</v>
      </c>
      <c r="H89" s="86">
        <v>3110.3333333333335</v>
      </c>
    </row>
    <row r="90" spans="2:8">
      <c r="B90" s="84">
        <v>45635</v>
      </c>
      <c r="C90">
        <v>1373</v>
      </c>
      <c r="D90">
        <v>1119</v>
      </c>
      <c r="E90">
        <v>1727</v>
      </c>
      <c r="F90">
        <v>573</v>
      </c>
      <c r="G90">
        <v>4792</v>
      </c>
      <c r="H90" s="86">
        <v>4531.666666666667</v>
      </c>
    </row>
    <row r="91" spans="2:8">
      <c r="B91" s="84">
        <v>45642</v>
      </c>
      <c r="C91">
        <v>1377</v>
      </c>
      <c r="D91">
        <v>1432</v>
      </c>
      <c r="E91">
        <v>1359</v>
      </c>
      <c r="F91">
        <v>876</v>
      </c>
      <c r="G91">
        <v>5044</v>
      </c>
      <c r="H91" s="86">
        <v>4877</v>
      </c>
    </row>
    <row r="92" spans="2:8">
      <c r="B92" s="84">
        <v>45649</v>
      </c>
      <c r="C92">
        <v>730</v>
      </c>
      <c r="D92">
        <v>684</v>
      </c>
      <c r="E92">
        <v>911</v>
      </c>
      <c r="F92">
        <v>1589</v>
      </c>
      <c r="G92">
        <v>3914</v>
      </c>
      <c r="H92" s="86">
        <v>4583.333333333333</v>
      </c>
    </row>
    <row r="93" spans="2:8">
      <c r="B93" s="84">
        <v>45656</v>
      </c>
      <c r="C93">
        <v>1776</v>
      </c>
      <c r="D93">
        <v>1765</v>
      </c>
      <c r="E93">
        <v>1529</v>
      </c>
      <c r="F93">
        <v>1460</v>
      </c>
      <c r="G93">
        <v>6530</v>
      </c>
      <c r="H93" s="86">
        <v>5162.666666666667</v>
      </c>
    </row>
    <row r="94" spans="2:8">
      <c r="B94" s="84">
        <v>45663</v>
      </c>
      <c r="C94">
        <v>620</v>
      </c>
      <c r="D94">
        <v>903</v>
      </c>
      <c r="E94">
        <v>1188</v>
      </c>
      <c r="F94">
        <v>846</v>
      </c>
      <c r="G94">
        <v>3557</v>
      </c>
      <c r="H94" s="86">
        <v>4667</v>
      </c>
    </row>
    <row r="95" spans="2:8">
      <c r="B95" s="84">
        <v>45670</v>
      </c>
      <c r="C95">
        <v>298</v>
      </c>
      <c r="D95">
        <v>1722</v>
      </c>
      <c r="E95">
        <v>-144</v>
      </c>
      <c r="F95">
        <v>901</v>
      </c>
      <c r="G95">
        <v>2777</v>
      </c>
      <c r="H95" s="86">
        <v>4288</v>
      </c>
    </row>
    <row r="96" spans="2:8">
      <c r="B96" s="84">
        <v>45677</v>
      </c>
      <c r="C96">
        <v>427</v>
      </c>
      <c r="D96">
        <v>1572</v>
      </c>
      <c r="E96">
        <v>891</v>
      </c>
      <c r="F96">
        <v>724</v>
      </c>
      <c r="G96">
        <v>3614</v>
      </c>
      <c r="H96" s="86">
        <v>3316</v>
      </c>
    </row>
    <row r="97" spans="2:8">
      <c r="B97" s="84">
        <v>45684</v>
      </c>
      <c r="C97">
        <v>898</v>
      </c>
      <c r="D97">
        <v>-166</v>
      </c>
      <c r="E97">
        <v>1426</v>
      </c>
      <c r="F97">
        <v>1225</v>
      </c>
      <c r="G97">
        <v>3383</v>
      </c>
      <c r="H97" s="86">
        <v>3258</v>
      </c>
    </row>
    <row r="98" spans="2:8">
      <c r="B98" s="84">
        <v>45691</v>
      </c>
      <c r="C98">
        <v>748</v>
      </c>
      <c r="D98">
        <v>1080</v>
      </c>
      <c r="E98">
        <v>569</v>
      </c>
      <c r="F98">
        <v>-203</v>
      </c>
      <c r="G98">
        <v>2194</v>
      </c>
      <c r="H98" s="86">
        <v>3063.6666666666665</v>
      </c>
    </row>
    <row r="99" spans="2:8">
      <c r="B99" s="84">
        <v>45698</v>
      </c>
      <c r="C99">
        <v>912</v>
      </c>
      <c r="D99">
        <v>1723</v>
      </c>
      <c r="E99">
        <v>1202</v>
      </c>
      <c r="F99">
        <v>1444</v>
      </c>
      <c r="G99">
        <v>5281</v>
      </c>
      <c r="H99" s="86">
        <v>3619.3333333333335</v>
      </c>
    </row>
    <row r="100" spans="2:8">
      <c r="B100" s="84">
        <v>45705</v>
      </c>
      <c r="C100">
        <v>1590</v>
      </c>
      <c r="D100">
        <v>965</v>
      </c>
      <c r="E100">
        <v>-37</v>
      </c>
      <c r="F100">
        <v>1175</v>
      </c>
      <c r="G100">
        <v>3693</v>
      </c>
      <c r="H100" s="86">
        <v>3722.6666666666665</v>
      </c>
    </row>
    <row r="101" spans="2:8">
      <c r="B101" s="84">
        <v>45712</v>
      </c>
      <c r="C101">
        <v>1707</v>
      </c>
      <c r="D101">
        <v>1375</v>
      </c>
      <c r="E101">
        <v>708</v>
      </c>
      <c r="F101">
        <v>1016</v>
      </c>
      <c r="G101">
        <v>4806</v>
      </c>
      <c r="H101" s="86">
        <v>4593.333333333333</v>
      </c>
    </row>
    <row r="102" spans="2:8">
      <c r="B102" s="84">
        <v>45719</v>
      </c>
      <c r="C102">
        <v>-119</v>
      </c>
      <c r="D102">
        <v>1315</v>
      </c>
      <c r="E102">
        <v>899</v>
      </c>
      <c r="F102">
        <v>315</v>
      </c>
      <c r="G102">
        <v>2410</v>
      </c>
      <c r="H102" s="86">
        <v>3636.3333333333335</v>
      </c>
    </row>
    <row r="103" spans="2:8">
      <c r="B103" s="84">
        <v>45726</v>
      </c>
      <c r="C103">
        <v>908</v>
      </c>
      <c r="D103">
        <v>212</v>
      </c>
      <c r="E103">
        <v>1350</v>
      </c>
      <c r="F103">
        <v>1242</v>
      </c>
      <c r="G103">
        <v>3712</v>
      </c>
      <c r="H103" s="86">
        <v>3642.6666666666665</v>
      </c>
    </row>
    <row r="104" spans="2:8">
      <c r="B104" s="84">
        <v>45733</v>
      </c>
      <c r="C104">
        <v>1116</v>
      </c>
      <c r="D104">
        <v>680</v>
      </c>
      <c r="E104">
        <v>861</v>
      </c>
      <c r="F104">
        <v>1385</v>
      </c>
      <c r="G104">
        <v>4042</v>
      </c>
      <c r="H104" s="86">
        <v>3388</v>
      </c>
    </row>
    <row r="105" spans="2:8">
      <c r="B105" s="84">
        <v>45740</v>
      </c>
      <c r="C105">
        <v>474</v>
      </c>
      <c r="D105">
        <v>461</v>
      </c>
      <c r="E105">
        <v>292</v>
      </c>
      <c r="F105">
        <v>389</v>
      </c>
      <c r="G105">
        <v>1616</v>
      </c>
      <c r="H105" s="86">
        <v>3123.3333333333335</v>
      </c>
    </row>
    <row r="106" spans="2:8">
      <c r="B106" s="84">
        <v>45747</v>
      </c>
      <c r="C106">
        <v>514</v>
      </c>
      <c r="D106">
        <v>641</v>
      </c>
      <c r="E106">
        <v>1676</v>
      </c>
      <c r="F106">
        <v>1467</v>
      </c>
      <c r="G106">
        <v>4298</v>
      </c>
      <c r="H106" s="86">
        <v>3318.6666666666665</v>
      </c>
    </row>
    <row r="107" spans="2:8">
      <c r="B107" s="84">
        <v>45754</v>
      </c>
      <c r="C107">
        <v>1029</v>
      </c>
      <c r="D107">
        <v>167</v>
      </c>
      <c r="E107">
        <v>1007</v>
      </c>
      <c r="F107">
        <v>209</v>
      </c>
      <c r="G107">
        <v>2412</v>
      </c>
      <c r="H107" s="86">
        <v>2775.3333333333335</v>
      </c>
    </row>
    <row r="108" spans="2:8">
      <c r="B108" s="84">
        <v>45761</v>
      </c>
      <c r="C108">
        <v>-175</v>
      </c>
      <c r="D108">
        <v>-160</v>
      </c>
      <c r="E108">
        <v>53</v>
      </c>
      <c r="F108">
        <v>145</v>
      </c>
      <c r="G108">
        <v>-137</v>
      </c>
      <c r="H108" s="86">
        <v>2191</v>
      </c>
    </row>
    <row r="109" spans="2:8">
      <c r="B109" s="84">
        <v>45768</v>
      </c>
      <c r="C109">
        <v>1045</v>
      </c>
      <c r="D109">
        <v>603</v>
      </c>
      <c r="E109">
        <v>759</v>
      </c>
      <c r="F109">
        <v>1633</v>
      </c>
      <c r="G109">
        <v>4040</v>
      </c>
      <c r="H109" s="86">
        <v>2105</v>
      </c>
    </row>
    <row r="110" spans="2:8">
      <c r="B110" s="84">
        <v>45775</v>
      </c>
      <c r="C110">
        <v>453</v>
      </c>
      <c r="D110">
        <v>1539</v>
      </c>
      <c r="E110">
        <v>948</v>
      </c>
      <c r="F110">
        <v>637</v>
      </c>
      <c r="G110">
        <v>3577</v>
      </c>
      <c r="H110" s="86">
        <v>2493.3333333333335</v>
      </c>
    </row>
    <row r="111" spans="2:8">
      <c r="B111" s="84">
        <v>45782</v>
      </c>
      <c r="C111">
        <v>339</v>
      </c>
      <c r="D111">
        <v>1881</v>
      </c>
      <c r="E111">
        <v>1510</v>
      </c>
      <c r="F111">
        <v>864</v>
      </c>
      <c r="G111">
        <v>4594</v>
      </c>
      <c r="H111" s="86">
        <v>4070.3333333333335</v>
      </c>
    </row>
    <row r="112" spans="2:8">
      <c r="B112" s="84">
        <v>45789</v>
      </c>
      <c r="C112">
        <v>407</v>
      </c>
      <c r="D112">
        <v>1656</v>
      </c>
      <c r="E112">
        <v>269</v>
      </c>
      <c r="F112">
        <v>-337</v>
      </c>
      <c r="G112">
        <v>1995</v>
      </c>
      <c r="H112" s="86">
        <v>3388.6666666666665</v>
      </c>
    </row>
  </sheetData>
  <mergeCells count="4">
    <mergeCell ref="B3:C3"/>
    <mergeCell ref="D3:E3"/>
    <mergeCell ref="F3:G3"/>
    <mergeCell ref="H3:I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EDDFC-C5BF-4560-8CC7-25DFE2D9B230}">
  <sheetPr codeName="Sheet14"/>
  <dimension ref="B7:P102"/>
  <sheetViews>
    <sheetView showGridLines="0" zoomScale="85" zoomScaleNormal="85" workbookViewId="0">
      <pane ySplit="3" topLeftCell="A28" activePane="bottomLeft" state="frozen"/>
      <selection pane="bottomLeft" activeCell="C83" sqref="C83"/>
    </sheetView>
  </sheetViews>
  <sheetFormatPr defaultRowHeight="14.4"/>
  <cols>
    <col min="1" max="1" width="4.21875" customWidth="1"/>
    <col min="2" max="2" width="11.44140625" bestFit="1" customWidth="1"/>
    <col min="3" max="3" width="12" bestFit="1" customWidth="1"/>
    <col min="4" max="4" width="10.109375" customWidth="1"/>
    <col min="5" max="5" width="16.21875" bestFit="1" customWidth="1"/>
    <col min="6" max="6" width="12" bestFit="1" customWidth="1"/>
    <col min="7" max="7" width="16.21875" bestFit="1" customWidth="1"/>
    <col min="8" max="11" width="15.5546875" bestFit="1" customWidth="1"/>
    <col min="12" max="12" width="27.33203125" bestFit="1" customWidth="1"/>
    <col min="13" max="13" width="14.44140625" bestFit="1" customWidth="1"/>
    <col min="14" max="14" width="27.33203125" bestFit="1" customWidth="1"/>
    <col min="15" max="15" width="14.44140625" bestFit="1" customWidth="1"/>
    <col min="16" max="16" width="27.33203125" bestFit="1" customWidth="1"/>
    <col min="17" max="17" width="14.44140625" bestFit="1" customWidth="1"/>
    <col min="18" max="18" width="27.33203125" bestFit="1" customWidth="1"/>
    <col min="19" max="19" width="14.44140625" bestFit="1" customWidth="1"/>
    <col min="20" max="20" width="32.5546875" bestFit="1" customWidth="1"/>
    <col min="21" max="21" width="19.6640625" bestFit="1" customWidth="1"/>
    <col min="22" max="22" width="13.109375" bestFit="1" customWidth="1"/>
    <col min="23" max="23" width="16.6640625" bestFit="1" customWidth="1"/>
    <col min="24" max="24" width="16.33203125" bestFit="1" customWidth="1"/>
    <col min="25" max="25" width="17.88671875" bestFit="1" customWidth="1"/>
    <col min="26" max="26" width="21.5546875" bestFit="1" customWidth="1"/>
  </cols>
  <sheetData>
    <row r="7" spans="5:9" ht="21">
      <c r="H7" s="45"/>
    </row>
    <row r="9" spans="5:9">
      <c r="E9" s="24"/>
      <c r="F9" s="24"/>
      <c r="G9" s="47" t="s">
        <v>580</v>
      </c>
      <c r="H9" s="43" t="s">
        <v>603</v>
      </c>
      <c r="I9" s="24"/>
    </row>
    <row r="10" spans="5:9">
      <c r="E10" s="24"/>
      <c r="F10" s="24"/>
      <c r="G10" s="24" t="s">
        <v>58</v>
      </c>
      <c r="H10" s="43">
        <v>104</v>
      </c>
      <c r="I10" s="24"/>
    </row>
    <row r="11" spans="5:9">
      <c r="E11" s="24"/>
      <c r="F11" s="24"/>
      <c r="G11" s="24" t="s">
        <v>18</v>
      </c>
      <c r="H11" s="43">
        <v>97</v>
      </c>
      <c r="I11" s="24"/>
    </row>
    <row r="12" spans="5:9">
      <c r="E12" s="24"/>
      <c r="F12" s="24"/>
      <c r="G12" s="24" t="s">
        <v>44</v>
      </c>
      <c r="H12" s="43">
        <v>92</v>
      </c>
      <c r="I12" s="24"/>
    </row>
    <row r="13" spans="5:9">
      <c r="E13" s="24"/>
      <c r="F13" s="24"/>
      <c r="G13" s="24" t="s">
        <v>24</v>
      </c>
      <c r="H13" s="43">
        <v>83</v>
      </c>
      <c r="I13" s="24"/>
    </row>
    <row r="14" spans="5:9">
      <c r="E14" s="24"/>
      <c r="F14" s="24"/>
      <c r="G14" s="24" t="s">
        <v>77</v>
      </c>
      <c r="H14" s="43">
        <v>80</v>
      </c>
      <c r="I14" s="24"/>
    </row>
    <row r="15" spans="5:9">
      <c r="E15" s="24"/>
      <c r="F15" s="24"/>
      <c r="G15" s="24" t="s">
        <v>581</v>
      </c>
      <c r="H15" s="43">
        <v>456</v>
      </c>
      <c r="I15" s="24"/>
    </row>
    <row r="16" spans="5:9">
      <c r="E16" s="24"/>
      <c r="F16" s="24"/>
      <c r="G16" s="24"/>
      <c r="H16" s="24"/>
      <c r="I16" s="24"/>
    </row>
    <row r="17" spans="5:9">
      <c r="E17" s="24"/>
      <c r="F17" s="24"/>
      <c r="G17" s="24"/>
      <c r="H17" s="24"/>
      <c r="I17" s="24"/>
    </row>
    <row r="18" spans="5:9">
      <c r="E18" s="24"/>
      <c r="F18" s="24"/>
      <c r="G18" s="24"/>
      <c r="H18" s="24"/>
      <c r="I18" s="24"/>
    </row>
    <row r="19" spans="5:9">
      <c r="E19" s="24"/>
      <c r="F19" s="24"/>
      <c r="G19" s="24"/>
      <c r="H19" s="24"/>
      <c r="I19" s="24"/>
    </row>
    <row r="20" spans="5:9">
      <c r="E20" s="24"/>
      <c r="F20" s="24"/>
      <c r="G20" s="24"/>
      <c r="H20" s="24"/>
      <c r="I20" s="24"/>
    </row>
    <row r="21" spans="5:9">
      <c r="E21" s="24"/>
      <c r="F21" s="24"/>
      <c r="G21" s="24"/>
      <c r="H21" s="24"/>
      <c r="I21" s="24"/>
    </row>
    <row r="22" spans="5:9">
      <c r="E22" s="24"/>
      <c r="F22" s="24"/>
      <c r="G22" s="24"/>
      <c r="H22" s="24"/>
      <c r="I22" s="24"/>
    </row>
    <row r="23" spans="5:9" ht="21">
      <c r="E23" s="24"/>
      <c r="F23" s="24"/>
      <c r="G23" s="24"/>
      <c r="H23" s="54"/>
      <c r="I23" s="24"/>
    </row>
    <row r="24" spans="5:9" ht="14.4" customHeight="1">
      <c r="E24" s="24"/>
      <c r="F24" s="24"/>
      <c r="G24" s="24"/>
      <c r="H24" s="24"/>
      <c r="I24" s="24"/>
    </row>
    <row r="25" spans="5:9" ht="43.2">
      <c r="E25" s="48" t="s">
        <v>580</v>
      </c>
      <c r="F25" s="46" t="s">
        <v>606</v>
      </c>
      <c r="G25" s="46" t="s">
        <v>605</v>
      </c>
      <c r="H25" s="46" t="s">
        <v>604</v>
      </c>
      <c r="I25" s="49" t="s">
        <v>603</v>
      </c>
    </row>
    <row r="26" spans="5:9">
      <c r="E26" s="24" t="s">
        <v>58</v>
      </c>
      <c r="F26" s="30">
        <v>0.15618194212592129</v>
      </c>
      <c r="G26" s="30">
        <v>9.0066758342913899E-3</v>
      </c>
      <c r="H26" s="29">
        <v>3662.4711538461538</v>
      </c>
      <c r="I26" s="24">
        <v>104</v>
      </c>
    </row>
    <row r="27" spans="5:9">
      <c r="E27" s="24" t="s">
        <v>18</v>
      </c>
      <c r="F27" s="30">
        <v>0.14917346050861879</v>
      </c>
      <c r="G27" s="30">
        <v>1.2320658783554797E-2</v>
      </c>
      <c r="H27" s="29">
        <v>3326.9896907216494</v>
      </c>
      <c r="I27" s="24">
        <v>97</v>
      </c>
    </row>
    <row r="28" spans="5:9">
      <c r="E28" s="24" t="s">
        <v>24</v>
      </c>
      <c r="F28" s="30">
        <v>0.14549346635859287</v>
      </c>
      <c r="G28" s="30">
        <v>1.0360992695402889E-2</v>
      </c>
      <c r="H28" s="29">
        <v>3470.3253012048194</v>
      </c>
      <c r="I28" s="24">
        <v>83</v>
      </c>
    </row>
    <row r="29" spans="5:9">
      <c r="E29" s="24" t="s">
        <v>44</v>
      </c>
      <c r="F29" s="30">
        <v>0.14353069934635868</v>
      </c>
      <c r="G29" s="30">
        <v>1.6243103136057157E-2</v>
      </c>
      <c r="H29" s="29">
        <v>3383.195652173913</v>
      </c>
      <c r="I29" s="24">
        <v>92</v>
      </c>
    </row>
    <row r="30" spans="5:9">
      <c r="E30" s="24" t="s">
        <v>77</v>
      </c>
      <c r="F30" s="30">
        <v>0.13661098759977458</v>
      </c>
      <c r="G30" s="30">
        <v>1.2067782300563677E-2</v>
      </c>
      <c r="H30" s="29">
        <v>3408.65</v>
      </c>
      <c r="I30" s="24">
        <v>80</v>
      </c>
    </row>
    <row r="31" spans="5:9">
      <c r="E31" s="24" t="s">
        <v>581</v>
      </c>
      <c r="F31" s="30">
        <v>0.14675966821500436</v>
      </c>
      <c r="G31" s="30">
        <v>1.1955150559324376E-2</v>
      </c>
      <c r="H31" s="29">
        <v>3455.2587719298244</v>
      </c>
      <c r="I31" s="24">
        <v>456</v>
      </c>
    </row>
    <row r="32" spans="5:9">
      <c r="E32" s="24"/>
      <c r="F32" s="24"/>
      <c r="G32" s="24"/>
      <c r="H32" s="24"/>
      <c r="I32" s="24"/>
    </row>
    <row r="33" spans="5:11">
      <c r="E33" s="24"/>
      <c r="F33" s="24"/>
      <c r="G33" s="24"/>
      <c r="H33" s="24"/>
      <c r="I33" s="24"/>
    </row>
    <row r="34" spans="5:11">
      <c r="E34" s="24"/>
      <c r="F34" s="24"/>
      <c r="G34" s="24"/>
      <c r="H34" s="24"/>
      <c r="I34" s="24"/>
    </row>
    <row r="35" spans="5:11">
      <c r="E35" s="24"/>
      <c r="F35" s="24"/>
      <c r="G35" s="24"/>
      <c r="H35" s="24"/>
      <c r="I35" s="24"/>
    </row>
    <row r="36" spans="5:11">
      <c r="E36" s="24"/>
      <c r="F36" s="24"/>
      <c r="G36" s="24"/>
      <c r="H36" s="24"/>
      <c r="I36" s="24"/>
    </row>
    <row r="37" spans="5:11">
      <c r="E37" s="24"/>
      <c r="F37" s="24"/>
      <c r="G37" s="24"/>
      <c r="H37" s="24"/>
      <c r="I37" s="24"/>
    </row>
    <row r="38" spans="5:11">
      <c r="E38" s="24"/>
      <c r="F38" s="24"/>
      <c r="G38" s="24"/>
      <c r="H38" s="24"/>
      <c r="I38" s="24"/>
    </row>
    <row r="39" spans="5:11">
      <c r="E39" s="24"/>
      <c r="F39" s="24"/>
      <c r="G39" s="24"/>
      <c r="H39" s="24"/>
      <c r="I39" s="24"/>
    </row>
    <row r="40" spans="5:11" ht="21">
      <c r="E40" s="24"/>
      <c r="F40" s="24"/>
      <c r="G40" s="24"/>
      <c r="H40" s="54"/>
      <c r="I40" s="24"/>
    </row>
    <row r="41" spans="5:11">
      <c r="E41" s="24"/>
      <c r="F41" s="24"/>
      <c r="G41" s="24"/>
      <c r="H41" s="24"/>
      <c r="I41" s="24"/>
    </row>
    <row r="42" spans="5:11" ht="43.2">
      <c r="E42" s="48" t="s">
        <v>580</v>
      </c>
      <c r="F42" s="46" t="s">
        <v>606</v>
      </c>
      <c r="G42" s="46" t="s">
        <v>605</v>
      </c>
      <c r="H42" s="46" t="s">
        <v>604</v>
      </c>
      <c r="I42" s="49" t="s">
        <v>603</v>
      </c>
    </row>
    <row r="43" spans="5:11" ht="15.6">
      <c r="E43" s="24" t="s">
        <v>33</v>
      </c>
      <c r="F43" s="30">
        <v>0.17857021538718543</v>
      </c>
      <c r="G43" s="30">
        <v>1.1397072347489393E-2</v>
      </c>
      <c r="H43" s="29">
        <v>3536.9577464788731</v>
      </c>
      <c r="I43" s="24">
        <v>71</v>
      </c>
      <c r="K43" s="38"/>
    </row>
    <row r="44" spans="5:11" ht="15.6">
      <c r="E44" s="24" t="s">
        <v>69</v>
      </c>
      <c r="F44" s="30">
        <v>0.15418026710586522</v>
      </c>
      <c r="G44" s="30">
        <v>1.2563392015422096E-2</v>
      </c>
      <c r="H44" s="29">
        <v>3377.3174603174602</v>
      </c>
      <c r="I44" s="24">
        <v>63</v>
      </c>
      <c r="K44" s="38"/>
    </row>
    <row r="45" spans="5:11" ht="15.6">
      <c r="E45" s="24" t="s">
        <v>42</v>
      </c>
      <c r="F45" s="30">
        <v>0.15047050381891933</v>
      </c>
      <c r="G45" s="30">
        <v>1.0758660519072706E-2</v>
      </c>
      <c r="H45" s="29">
        <v>3389.413043478261</v>
      </c>
      <c r="I45" s="24">
        <v>92</v>
      </c>
      <c r="K45" s="38"/>
    </row>
    <row r="46" spans="5:11" ht="15.6">
      <c r="E46" s="24" t="s">
        <v>16</v>
      </c>
      <c r="F46" s="30">
        <v>0.14780796437691596</v>
      </c>
      <c r="G46" s="30">
        <v>1.2455911801223895E-2</v>
      </c>
      <c r="H46" s="29">
        <v>3499.550724637681</v>
      </c>
      <c r="I46" s="24">
        <v>69</v>
      </c>
      <c r="K46" s="38"/>
    </row>
    <row r="47" spans="5:11">
      <c r="E47" s="24" t="s">
        <v>49</v>
      </c>
      <c r="F47" s="30">
        <v>0.13441676224952803</v>
      </c>
      <c r="G47" s="30">
        <v>1.5121332947589649E-2</v>
      </c>
      <c r="H47" s="29">
        <v>3471.0520833333335</v>
      </c>
      <c r="I47" s="24">
        <v>96</v>
      </c>
    </row>
    <row r="48" spans="5:11">
      <c r="E48" s="24" t="s">
        <v>22</v>
      </c>
      <c r="F48" s="30">
        <v>0.11668494640892119</v>
      </c>
      <c r="G48" s="30">
        <v>8.4609257907819948E-3</v>
      </c>
      <c r="H48" s="29">
        <v>3464.4153846153845</v>
      </c>
      <c r="I48" s="24">
        <v>65</v>
      </c>
    </row>
    <row r="49" spans="2:9">
      <c r="E49" s="24" t="s">
        <v>581</v>
      </c>
      <c r="F49" s="30">
        <v>0.14675966821500447</v>
      </c>
      <c r="G49" s="30">
        <v>1.1955150559324371E-2</v>
      </c>
      <c r="H49" s="29">
        <v>3455.2587719298244</v>
      </c>
      <c r="I49" s="24">
        <v>456</v>
      </c>
    </row>
    <row r="58" spans="2:9" ht="21">
      <c r="I58" s="45"/>
    </row>
    <row r="60" spans="2:9" ht="43.2">
      <c r="B60" s="50" t="s">
        <v>580</v>
      </c>
      <c r="C60" s="46" t="s">
        <v>606</v>
      </c>
      <c r="D60" s="46" t="s">
        <v>605</v>
      </c>
      <c r="E60" s="46" t="s">
        <v>604</v>
      </c>
    </row>
    <row r="61" spans="2:9">
      <c r="B61" s="24" t="s">
        <v>40</v>
      </c>
      <c r="C61" s="30">
        <v>0.12365614982571091</v>
      </c>
      <c r="D61" s="30">
        <v>6.0156246401197547E-3</v>
      </c>
      <c r="E61" s="29">
        <v>3659.9765625</v>
      </c>
    </row>
    <row r="62" spans="2:9">
      <c r="B62" s="24" t="s">
        <v>42</v>
      </c>
      <c r="C62" s="30">
        <v>0.12109666407469055</v>
      </c>
      <c r="D62" s="30">
        <v>5.4534574663806252E-3</v>
      </c>
      <c r="E62" s="29">
        <v>3935.7619047619046</v>
      </c>
    </row>
    <row r="63" spans="2:9">
      <c r="B63" s="24" t="s">
        <v>49</v>
      </c>
      <c r="C63" s="30">
        <v>0.12061112766412392</v>
      </c>
      <c r="D63" s="30">
        <v>5.9427967898549299E-3</v>
      </c>
      <c r="E63" s="29">
        <v>3641.875</v>
      </c>
    </row>
    <row r="64" spans="2:9">
      <c r="B64" s="24" t="s">
        <v>16</v>
      </c>
      <c r="C64" s="30">
        <v>0.10701843199404039</v>
      </c>
      <c r="D64" s="30">
        <v>4.3032172751534476E-3</v>
      </c>
      <c r="E64" s="29">
        <v>4105.7647058823532</v>
      </c>
    </row>
    <row r="65" spans="2:5">
      <c r="B65" s="24" t="s">
        <v>33</v>
      </c>
      <c r="C65" s="30">
        <v>0.1623105123293774</v>
      </c>
      <c r="D65" s="30">
        <v>7.082604661933725E-3</v>
      </c>
      <c r="E65" s="29">
        <v>3410.1578947368421</v>
      </c>
    </row>
    <row r="66" spans="2:5">
      <c r="B66" s="24" t="s">
        <v>22</v>
      </c>
      <c r="C66" s="30">
        <v>0.10885122171624459</v>
      </c>
      <c r="D66" s="30">
        <v>8.0375147233781152E-3</v>
      </c>
      <c r="E66" s="29">
        <v>3078.75</v>
      </c>
    </row>
    <row r="67" spans="2:5">
      <c r="B67" s="24" t="s">
        <v>69</v>
      </c>
      <c r="C67" s="30">
        <v>0.12547951027961801</v>
      </c>
      <c r="D67" s="30">
        <v>4.4809998932023847E-3</v>
      </c>
      <c r="E67" s="29">
        <v>3998.6363636363635</v>
      </c>
    </row>
    <row r="68" spans="2:5">
      <c r="B68" s="24" t="s">
        <v>31</v>
      </c>
      <c r="C68" s="30">
        <v>0.18382346037713757</v>
      </c>
      <c r="D68" s="30">
        <v>1.6121751470741658E-2</v>
      </c>
      <c r="E68" s="29">
        <v>3291.7179487179487</v>
      </c>
    </row>
    <row r="69" spans="2:5">
      <c r="B69" s="24" t="s">
        <v>42</v>
      </c>
      <c r="C69" s="30">
        <v>0.14956648565946415</v>
      </c>
      <c r="D69" s="30">
        <v>8.6798551067548101E-3</v>
      </c>
      <c r="E69" s="29">
        <v>3070.5357142857142</v>
      </c>
    </row>
    <row r="70" spans="2:5">
      <c r="B70" s="24" t="s">
        <v>49</v>
      </c>
      <c r="C70" s="30">
        <v>0.14086940708541543</v>
      </c>
      <c r="D70" s="30">
        <v>9.8259260703503562E-3</v>
      </c>
      <c r="E70" s="29">
        <v>4287.583333333333</v>
      </c>
    </row>
    <row r="71" spans="2:5">
      <c r="B71" s="24" t="s">
        <v>16</v>
      </c>
      <c r="C71" s="30">
        <v>0.21692441679102503</v>
      </c>
      <c r="D71" s="30">
        <v>2.3543456798544499E-2</v>
      </c>
      <c r="E71" s="29">
        <v>3569.4761904761904</v>
      </c>
    </row>
    <row r="72" spans="2:5">
      <c r="B72" s="24" t="s">
        <v>33</v>
      </c>
      <c r="C72" s="30">
        <v>0.2226051385980625</v>
      </c>
      <c r="D72" s="30">
        <v>1.1728658147079601E-2</v>
      </c>
      <c r="E72" s="29">
        <v>3347.9166666666665</v>
      </c>
    </row>
    <row r="73" spans="2:5">
      <c r="B73" s="24" t="s">
        <v>22</v>
      </c>
      <c r="C73" s="30">
        <v>0.1254916397210408</v>
      </c>
      <c r="D73" s="30">
        <v>1.6401745890982509E-2</v>
      </c>
      <c r="E73" s="29">
        <v>3229.9333333333334</v>
      </c>
    </row>
    <row r="74" spans="2:5">
      <c r="B74" s="24" t="s">
        <v>69</v>
      </c>
      <c r="C74" s="30">
        <v>0.22639645328555758</v>
      </c>
      <c r="D74" s="30">
        <v>2.9610075857608924E-2</v>
      </c>
      <c r="E74" s="29">
        <v>2585.1176470588234</v>
      </c>
    </row>
    <row r="75" spans="2:5">
      <c r="B75" s="24" t="s">
        <v>14</v>
      </c>
      <c r="C75" s="30">
        <v>0.14507690781327615</v>
      </c>
      <c r="D75" s="30">
        <v>1.6287276272704342E-2</v>
      </c>
      <c r="E75" s="29">
        <v>3218.9669421487602</v>
      </c>
    </row>
    <row r="76" spans="2:5">
      <c r="B76" s="24" t="s">
        <v>42</v>
      </c>
      <c r="C76" s="30">
        <v>0.15401289461195852</v>
      </c>
      <c r="D76" s="30">
        <v>1.3480533250612469E-2</v>
      </c>
      <c r="E76" s="29">
        <v>3484.92</v>
      </c>
    </row>
    <row r="77" spans="2:5">
      <c r="B77" s="24" t="s">
        <v>49</v>
      </c>
      <c r="C77" s="30">
        <v>0.14212117244811467</v>
      </c>
      <c r="D77" s="30">
        <v>2.9175457551830406E-2</v>
      </c>
      <c r="E77" s="29">
        <v>2973.5357142857142</v>
      </c>
    </row>
    <row r="78" spans="2:5">
      <c r="B78" s="24" t="s">
        <v>16</v>
      </c>
      <c r="C78" s="30">
        <v>0.1353085192973971</v>
      </c>
      <c r="D78" s="30">
        <v>1.1967011068437743E-2</v>
      </c>
      <c r="E78" s="29">
        <v>2908.8235294117649</v>
      </c>
    </row>
    <row r="79" spans="2:5">
      <c r="B79" s="24" t="s">
        <v>33</v>
      </c>
      <c r="C79" s="30">
        <v>0.20267997004618613</v>
      </c>
      <c r="D79" s="30">
        <v>2.3352845684723882E-2</v>
      </c>
      <c r="E79" s="29">
        <v>3078.4</v>
      </c>
    </row>
    <row r="80" spans="2:5">
      <c r="B80" s="24" t="s">
        <v>22</v>
      </c>
      <c r="C80" s="30">
        <v>0.12174585283291929</v>
      </c>
      <c r="D80" s="30">
        <v>5.7188993846013624E-3</v>
      </c>
      <c r="E80" s="29">
        <v>3581.5882352941176</v>
      </c>
    </row>
    <row r="81" spans="2:16">
      <c r="B81" s="24" t="s">
        <v>69</v>
      </c>
      <c r="C81" s="30">
        <v>0.12181404077116192</v>
      </c>
      <c r="D81" s="30">
        <v>8.7305854372705227E-3</v>
      </c>
      <c r="E81" s="29">
        <v>3294.7368421052633</v>
      </c>
    </row>
    <row r="82" spans="2:16">
      <c r="B82" s="24" t="s">
        <v>27</v>
      </c>
      <c r="C82" s="30">
        <v>0.13369745354243878</v>
      </c>
      <c r="D82" s="30">
        <v>9.1615927782509425E-3</v>
      </c>
      <c r="E82" s="29">
        <v>3694.3888888888887</v>
      </c>
    </row>
    <row r="83" spans="2:16">
      <c r="B83" s="24" t="s">
        <v>42</v>
      </c>
      <c r="C83" s="30">
        <v>0.18122624677822843</v>
      </c>
      <c r="D83" s="30">
        <v>1.6401382594791635E-2</v>
      </c>
      <c r="E83" s="29">
        <v>3115.3888888888887</v>
      </c>
    </row>
    <row r="84" spans="2:16">
      <c r="B84" s="24" t="s">
        <v>49</v>
      </c>
      <c r="C84" s="30">
        <v>0.15060864723859627</v>
      </c>
      <c r="D84" s="30">
        <v>1.7444510442434589E-2</v>
      </c>
      <c r="E84" s="29">
        <v>3302.25</v>
      </c>
    </row>
    <row r="85" spans="2:16">
      <c r="B85" s="24" t="s">
        <v>16</v>
      </c>
      <c r="C85" s="30">
        <v>0.10884132981723139</v>
      </c>
      <c r="D85" s="30">
        <v>6.3179599767117295E-3</v>
      </c>
      <c r="E85" s="29">
        <v>3375.8571428571427</v>
      </c>
    </row>
    <row r="86" spans="2:16">
      <c r="B86" s="24" t="s">
        <v>33</v>
      </c>
      <c r="C86" s="30">
        <v>9.3220206245054213E-2</v>
      </c>
      <c r="D86" s="30">
        <v>3.2955513303259609E-3</v>
      </c>
      <c r="E86" s="29">
        <v>4600.3846153846152</v>
      </c>
    </row>
    <row r="87" spans="2:16">
      <c r="B87" s="24" t="s">
        <v>22</v>
      </c>
      <c r="C87" s="30">
        <v>0.11195715294459543</v>
      </c>
      <c r="D87" s="30">
        <v>3.5355695407927835E-3</v>
      </c>
      <c r="E87" s="29">
        <v>4175.0769230769229</v>
      </c>
    </row>
    <row r="88" spans="2:16">
      <c r="B88" s="24" t="s">
        <v>69</v>
      </c>
      <c r="C88" s="30">
        <v>0.13561723338044726</v>
      </c>
      <c r="D88" s="30">
        <v>4.5593928286796186E-3</v>
      </c>
      <c r="E88" s="29">
        <v>3889.9375</v>
      </c>
    </row>
    <row r="89" spans="2:16">
      <c r="B89" s="24" t="s">
        <v>581</v>
      </c>
      <c r="C89" s="30">
        <v>0.1467596682150043</v>
      </c>
      <c r="D89" s="30">
        <v>1.1955150559324362E-2</v>
      </c>
      <c r="E89" s="29">
        <v>3455.2587719298244</v>
      </c>
    </row>
    <row r="95" spans="2:16">
      <c r="P95" s="36"/>
    </row>
    <row r="102" spans="11:11" ht="21">
      <c r="K102" s="45"/>
    </row>
  </sheetData>
  <conditionalFormatting pivot="1" sqref="F26:F30">
    <cfRule type="iconSet" priority="28">
      <iconSet iconSet="3Arrows">
        <cfvo type="percent" val="0"/>
        <cfvo type="percent" val="33"/>
        <cfvo type="percent" val="67"/>
      </iconSet>
    </cfRule>
  </conditionalFormatting>
  <conditionalFormatting pivot="1" sqref="G26:G30">
    <cfRule type="iconSet" priority="27">
      <iconSet iconSet="3Arrows">
        <cfvo type="percent" val="0"/>
        <cfvo type="percent" val="33"/>
        <cfvo type="percent" val="67"/>
      </iconSet>
    </cfRule>
  </conditionalFormatting>
  <conditionalFormatting pivot="1" sqref="H26:H30">
    <cfRule type="iconSet" priority="26">
      <iconSet iconSet="3Arrows">
        <cfvo type="percent" val="0"/>
        <cfvo type="percent" val="33"/>
        <cfvo type="percent" val="67"/>
      </iconSet>
    </cfRule>
  </conditionalFormatting>
  <conditionalFormatting pivot="1" sqref="I26:I30">
    <cfRule type="iconSet" priority="25">
      <iconSet iconSet="3Arrows">
        <cfvo type="percent" val="0"/>
        <cfvo type="percent" val="33"/>
        <cfvo type="percent" val="67"/>
      </iconSet>
    </cfRule>
  </conditionalFormatting>
  <conditionalFormatting pivot="1" sqref="F43:F48">
    <cfRule type="iconSet" priority="20">
      <iconSet iconSet="3Arrows">
        <cfvo type="percent" val="0"/>
        <cfvo type="percent" val="33"/>
        <cfvo type="percent" val="67"/>
      </iconSet>
    </cfRule>
  </conditionalFormatting>
  <conditionalFormatting pivot="1" sqref="G43:G48">
    <cfRule type="iconSet" priority="19">
      <iconSet iconSet="3Arrows">
        <cfvo type="percent" val="0"/>
        <cfvo type="percent" val="33"/>
        <cfvo type="percent" val="67"/>
      </iconSet>
    </cfRule>
  </conditionalFormatting>
  <conditionalFormatting pivot="1" sqref="H43:H48">
    <cfRule type="iconSet" priority="18">
      <iconSet iconSet="3Arrows">
        <cfvo type="percent" val="0"/>
        <cfvo type="percent" val="33"/>
        <cfvo type="percent" val="67"/>
      </iconSet>
    </cfRule>
  </conditionalFormatting>
  <conditionalFormatting pivot="1" sqref="C62:C67">
    <cfRule type="iconSet" priority="12">
      <iconSet iconSet="3Arrows">
        <cfvo type="percent" val="0"/>
        <cfvo type="percent" val="33"/>
        <cfvo type="percent" val="67"/>
      </iconSet>
    </cfRule>
  </conditionalFormatting>
  <conditionalFormatting pivot="1" sqref="D62:D67">
    <cfRule type="iconSet" priority="11">
      <iconSet iconSet="3Arrows">
        <cfvo type="percent" val="0"/>
        <cfvo type="percent" val="33"/>
        <cfvo type="percent" val="67"/>
      </iconSet>
    </cfRule>
  </conditionalFormatting>
  <conditionalFormatting pivot="1" sqref="E62:E67">
    <cfRule type="iconSet" priority="10">
      <iconSet iconSet="3Arrows">
        <cfvo type="percent" val="0"/>
        <cfvo type="percent" val="33"/>
        <cfvo type="percent" val="67"/>
      </iconSet>
    </cfRule>
  </conditionalFormatting>
  <conditionalFormatting pivot="1" sqref="E69:E74">
    <cfRule type="iconSet" priority="9">
      <iconSet iconSet="3Arrows">
        <cfvo type="percent" val="0"/>
        <cfvo type="percent" val="33"/>
        <cfvo type="percent" val="67"/>
      </iconSet>
    </cfRule>
  </conditionalFormatting>
  <conditionalFormatting pivot="1" sqref="D69:D74">
    <cfRule type="iconSet" priority="8">
      <iconSet iconSet="3Arrows">
        <cfvo type="percent" val="0"/>
        <cfvo type="percent" val="33"/>
        <cfvo type="percent" val="67"/>
      </iconSet>
    </cfRule>
  </conditionalFormatting>
  <conditionalFormatting pivot="1" sqref="D76:D81">
    <cfRule type="iconSet" priority="7">
      <iconSet iconSet="3Arrows">
        <cfvo type="percent" val="0"/>
        <cfvo type="percent" val="33"/>
        <cfvo type="percent" val="67"/>
      </iconSet>
    </cfRule>
  </conditionalFormatting>
  <conditionalFormatting pivot="1" sqref="E76:E81">
    <cfRule type="iconSet" priority="6">
      <iconSet iconSet="3Arrows">
        <cfvo type="percent" val="0"/>
        <cfvo type="percent" val="33"/>
        <cfvo type="percent" val="67"/>
      </iconSet>
    </cfRule>
  </conditionalFormatting>
  <conditionalFormatting pivot="1" sqref="E83:E88">
    <cfRule type="iconSet" priority="5">
      <iconSet iconSet="3Arrows">
        <cfvo type="percent" val="0"/>
        <cfvo type="percent" val="33"/>
        <cfvo type="percent" val="67"/>
      </iconSet>
    </cfRule>
  </conditionalFormatting>
  <conditionalFormatting pivot="1" sqref="D83:D88">
    <cfRule type="iconSet" priority="4">
      <iconSet iconSet="3Arrows">
        <cfvo type="percent" val="0"/>
        <cfvo type="percent" val="33"/>
        <cfvo type="percent" val="67"/>
      </iconSet>
    </cfRule>
  </conditionalFormatting>
  <conditionalFormatting pivot="1" sqref="C69:C74">
    <cfRule type="iconSet" priority="3">
      <iconSet iconSet="3Arrows">
        <cfvo type="percent" val="0"/>
        <cfvo type="percent" val="33"/>
        <cfvo type="percent" val="67"/>
      </iconSet>
    </cfRule>
  </conditionalFormatting>
  <conditionalFormatting pivot="1" sqref="C76:C81">
    <cfRule type="iconSet" priority="2">
      <iconSet iconSet="3Arrows">
        <cfvo type="percent" val="0"/>
        <cfvo type="percent" val="33"/>
        <cfvo type="percent" val="67"/>
      </iconSet>
    </cfRule>
  </conditionalFormatting>
  <conditionalFormatting pivot="1" sqref="C83:C88">
    <cfRule type="iconSet" priority="1">
      <iconSet iconSet="3Arrows">
        <cfvo type="percent" val="0"/>
        <cfvo type="percent" val="33"/>
        <cfvo type="percent" val="67"/>
      </iconSet>
    </cfRule>
  </conditionalFormatting>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2F00B-DA5F-48DD-B1D0-DB516CFA10F8}">
  <sheetPr codeName="Sheet15"/>
  <dimension ref="C6:M99"/>
  <sheetViews>
    <sheetView showGridLines="0" zoomScale="85" zoomScaleNormal="85" workbookViewId="0">
      <pane ySplit="3" topLeftCell="A67" activePane="bottomLeft" state="frozen"/>
      <selection pane="bottomLeft" activeCell="I104" sqref="I104"/>
    </sheetView>
  </sheetViews>
  <sheetFormatPr defaultRowHeight="14.4"/>
  <cols>
    <col min="3" max="3" width="16.33203125" bestFit="1" customWidth="1"/>
    <col min="4" max="4" width="26" bestFit="1" customWidth="1"/>
    <col min="5" max="5" width="23.88671875" bestFit="1" customWidth="1"/>
    <col min="6" max="6" width="15.5546875" bestFit="1" customWidth="1"/>
    <col min="7" max="7" width="17.33203125" bestFit="1" customWidth="1"/>
    <col min="8" max="8" width="15.21875" bestFit="1" customWidth="1"/>
    <col min="9" max="9" width="11.44140625" bestFit="1" customWidth="1"/>
    <col min="10" max="10" width="20.77734375" bestFit="1" customWidth="1"/>
    <col min="11" max="11" width="17.33203125" bestFit="1" customWidth="1"/>
    <col min="12" max="12" width="15.21875" bestFit="1" customWidth="1"/>
    <col min="13" max="13" width="32.5546875" bestFit="1" customWidth="1"/>
    <col min="14" max="14" width="20.77734375" bestFit="1" customWidth="1"/>
    <col min="15" max="35" width="27.33203125" bestFit="1" customWidth="1"/>
    <col min="36" max="36" width="17.21875" bestFit="1" customWidth="1"/>
    <col min="37" max="37" width="21.77734375" bestFit="1" customWidth="1"/>
    <col min="38" max="38" width="18.88671875" bestFit="1" customWidth="1"/>
    <col min="39" max="39" width="23.5546875" bestFit="1" customWidth="1"/>
    <col min="40" max="40" width="22.5546875" bestFit="1" customWidth="1"/>
    <col min="41" max="41" width="27.21875" bestFit="1" customWidth="1"/>
    <col min="42" max="42" width="30" bestFit="1" customWidth="1"/>
    <col min="43" max="43" width="32.5546875" bestFit="1" customWidth="1"/>
  </cols>
  <sheetData>
    <row r="6" spans="4:9" ht="21">
      <c r="G6" s="45"/>
    </row>
    <row r="9" spans="4:9">
      <c r="E9" s="23" t="s">
        <v>595</v>
      </c>
    </row>
    <row r="10" spans="4:9">
      <c r="D10" s="47" t="s">
        <v>607</v>
      </c>
      <c r="E10" s="28" t="s">
        <v>25</v>
      </c>
      <c r="F10" s="28" t="s">
        <v>19</v>
      </c>
      <c r="G10" s="28" t="s">
        <v>38</v>
      </c>
      <c r="H10" s="28" t="s">
        <v>55</v>
      </c>
      <c r="I10" s="28" t="s">
        <v>581</v>
      </c>
    </row>
    <row r="11" spans="4:9">
      <c r="D11" s="53" t="s">
        <v>583</v>
      </c>
      <c r="E11" s="74">
        <v>329664</v>
      </c>
      <c r="F11" s="74">
        <v>323157</v>
      </c>
      <c r="G11" s="74">
        <v>317571</v>
      </c>
      <c r="H11" s="74">
        <v>272307</v>
      </c>
      <c r="I11" s="75">
        <v>1242699</v>
      </c>
    </row>
    <row r="12" spans="4:9">
      <c r="D12" s="53" t="s">
        <v>608</v>
      </c>
      <c r="E12" s="74">
        <v>2702.1639344262294</v>
      </c>
      <c r="F12" s="74">
        <v>3020.1588785046729</v>
      </c>
      <c r="G12" s="74">
        <v>2624.5537190082646</v>
      </c>
      <c r="H12" s="74">
        <v>2568.933962264151</v>
      </c>
      <c r="I12" s="75">
        <v>2725.2171052631579</v>
      </c>
    </row>
    <row r="13" spans="4:9">
      <c r="D13" s="56" t="s">
        <v>584</v>
      </c>
      <c r="E13" s="76">
        <v>60773</v>
      </c>
      <c r="F13" s="76">
        <v>51907</v>
      </c>
      <c r="G13" s="76">
        <v>59826</v>
      </c>
      <c r="H13" s="76">
        <v>47051</v>
      </c>
      <c r="I13" s="77">
        <v>219557</v>
      </c>
    </row>
    <row r="14" spans="4:9">
      <c r="D14" s="56" t="s">
        <v>609</v>
      </c>
      <c r="E14" s="76">
        <v>498.13934426229508</v>
      </c>
      <c r="F14" s="76">
        <v>485.1121495327103</v>
      </c>
      <c r="G14" s="76">
        <v>494.42975206611573</v>
      </c>
      <c r="H14" s="76">
        <v>443.87735849056605</v>
      </c>
      <c r="I14" s="77">
        <v>481.48464912280701</v>
      </c>
    </row>
    <row r="15" spans="4:9">
      <c r="D15" s="57" t="s">
        <v>585</v>
      </c>
      <c r="E15" s="78">
        <v>32117</v>
      </c>
      <c r="F15" s="78">
        <v>27566</v>
      </c>
      <c r="G15" s="78">
        <v>28431</v>
      </c>
      <c r="H15" s="78">
        <v>25228</v>
      </c>
      <c r="I15" s="79">
        <v>113342</v>
      </c>
    </row>
    <row r="16" spans="4:9">
      <c r="D16" s="57" t="s">
        <v>610</v>
      </c>
      <c r="E16" s="78">
        <v>263.25409836065575</v>
      </c>
      <c r="F16" s="78">
        <v>257.62616822429908</v>
      </c>
      <c r="G16" s="78">
        <v>234.96694214876032</v>
      </c>
      <c r="H16" s="78">
        <v>238</v>
      </c>
      <c r="I16" s="79">
        <v>248.55701754385964</v>
      </c>
    </row>
    <row r="17" spans="4:9">
      <c r="D17" s="58" t="s">
        <v>593</v>
      </c>
      <c r="E17" s="80">
        <v>0.15119304111949214</v>
      </c>
      <c r="F17" s="80">
        <v>0.13352474777130618</v>
      </c>
      <c r="G17" s="80">
        <v>0.13835102108029745</v>
      </c>
      <c r="H17" s="80">
        <v>0.16461543516243601</v>
      </c>
      <c r="I17" s="81">
        <v>0.14675966821500447</v>
      </c>
    </row>
    <row r="19" spans="4:9" ht="14.4" customHeight="1">
      <c r="G19" s="27"/>
    </row>
    <row r="20" spans="4:9" ht="14.4" customHeight="1"/>
    <row r="36" spans="4:10" ht="21">
      <c r="G36" s="45"/>
    </row>
    <row r="38" spans="4:10" ht="15.6">
      <c r="D38" s="36"/>
      <c r="E38" s="36"/>
      <c r="F38" s="36"/>
      <c r="G38" s="36"/>
      <c r="H38" s="36"/>
      <c r="J38" s="38"/>
    </row>
    <row r="39" spans="4:10" ht="21">
      <c r="F39" s="37"/>
      <c r="G39" s="45"/>
      <c r="H39" s="40"/>
      <c r="J39" s="38"/>
    </row>
    <row r="40" spans="4:10" ht="15.6">
      <c r="D40" s="36"/>
      <c r="E40" s="37"/>
      <c r="F40" s="37"/>
      <c r="G40" s="37"/>
      <c r="H40" s="40"/>
      <c r="J40" s="38"/>
    </row>
    <row r="41" spans="4:10" ht="15.6">
      <c r="D41" s="23" t="s">
        <v>580</v>
      </c>
      <c r="E41" t="s">
        <v>606</v>
      </c>
      <c r="F41" t="s">
        <v>603</v>
      </c>
      <c r="G41" s="60" t="s">
        <v>616</v>
      </c>
      <c r="I41" s="38"/>
    </row>
    <row r="42" spans="4:10">
      <c r="D42" s="24" t="s">
        <v>25</v>
      </c>
      <c r="E42" s="51">
        <v>0.21458217688769224</v>
      </c>
      <c r="F42" s="43">
        <v>19</v>
      </c>
      <c r="G42" s="61">
        <f>(GETPIVOTDATA("Avg of Engagement Rate",$D$41,"Campaign_Name","EndOfSeasonSale","Period","During")-GETPIVOTDATA("Avg of Engagement Rate",$D$41,"Campaign_Name","EndOfSeasonSale","Period","Before"))/GETPIVOTDATA("Avg of Engagement Rate",$D$41,"Campaign_Name","EndOfSeasonSale","Period","Before")</f>
        <v>-0.59958807093346511</v>
      </c>
    </row>
    <row r="43" spans="4:10">
      <c r="D43" s="25" t="s">
        <v>614</v>
      </c>
      <c r="E43" s="51">
        <v>0.31352075982513933</v>
      </c>
      <c r="F43" s="43">
        <v>9</v>
      </c>
      <c r="G43" s="43"/>
    </row>
    <row r="44" spans="4:10">
      <c r="D44" s="25" t="s">
        <v>615</v>
      </c>
      <c r="E44" s="51">
        <v>0.12553745224398982</v>
      </c>
      <c r="F44" s="43">
        <v>10</v>
      </c>
      <c r="G44" s="43"/>
    </row>
    <row r="45" spans="4:10">
      <c r="D45" s="24" t="s">
        <v>19</v>
      </c>
      <c r="E45" s="51">
        <v>0.12439652543471882</v>
      </c>
      <c r="F45" s="43">
        <v>20</v>
      </c>
      <c r="G45" s="61">
        <f>(GETPIVOTDATA("Avg of Engagement Rate",$D$41,"Campaign_Name","FashionUpgrade","Period","During")-GETPIVOTDATA("Avg of Engagement Rate",$D$41,"Campaign_Name","FashionUpgrade","Period","Before"))/GETPIVOTDATA("Avg of Engagement Rate",$D$41,"Campaign_Name","FashionUpgrade","Period","Before")</f>
        <v>-0.1076644919105688</v>
      </c>
    </row>
    <row r="46" spans="4:10">
      <c r="D46" s="25" t="s">
        <v>614</v>
      </c>
      <c r="E46" s="51">
        <v>0.132987333660156</v>
      </c>
      <c r="F46" s="43">
        <v>8</v>
      </c>
      <c r="G46" s="43"/>
    </row>
    <row r="47" spans="4:10">
      <c r="D47" s="25" t="s">
        <v>615</v>
      </c>
      <c r="E47" s="51">
        <v>0.11866931995109402</v>
      </c>
      <c r="F47" s="43">
        <v>12</v>
      </c>
      <c r="G47" s="43"/>
    </row>
    <row r="48" spans="4:10">
      <c r="D48" s="24" t="s">
        <v>38</v>
      </c>
      <c r="E48" s="51">
        <v>0.13445242091094758</v>
      </c>
      <c r="F48" s="43">
        <v>14</v>
      </c>
      <c r="G48" s="61">
        <f>(GETPIVOTDATA("Avg of Engagement Rate",$D$41,"Campaign_Name","MyntraFestiveEdit","Period","During")-GETPIVOTDATA("Avg of Engagement Rate",$D$41,"Campaign_Name","MyntraFestiveEdit","Period","Before"))/GETPIVOTDATA("Avg of Engagement Rate",$D$41,"Campaign_Name","MyntraFestiveEdit","Period","Before")</f>
        <v>0.53949467947458052</v>
      </c>
    </row>
    <row r="49" spans="3:11">
      <c r="D49" s="25" t="s">
        <v>614</v>
      </c>
      <c r="E49" s="51">
        <v>8.9577656675749295E-2</v>
      </c>
      <c r="F49" s="43">
        <v>1</v>
      </c>
      <c r="G49" s="43"/>
    </row>
    <row r="50" spans="3:11">
      <c r="D50" s="25" t="s">
        <v>615</v>
      </c>
      <c r="E50" s="51">
        <v>0.13790432585211668</v>
      </c>
      <c r="F50" s="43">
        <v>13</v>
      </c>
      <c r="G50" s="43"/>
    </row>
    <row r="51" spans="3:11">
      <c r="D51" s="24" t="s">
        <v>55</v>
      </c>
      <c r="E51" s="51">
        <v>0.19470517272115503</v>
      </c>
      <c r="F51" s="43">
        <v>15</v>
      </c>
      <c r="G51" s="61">
        <f>(GETPIVOTDATA("Avg of Engagement Rate",$D$41,"Campaign_Name","StyleRevolution","Period","During")-GETPIVOTDATA("Avg of Engagement Rate",$D$41,"Campaign_Name","StyleRevolution","Period","Before"))/GETPIVOTDATA("Avg of Engagement Rate",$D$41,"Campaign_Name","StyleRevolution","Period","Before")</f>
        <v>-1.9988373825386815E-2</v>
      </c>
    </row>
    <row r="52" spans="3:11">
      <c r="D52" s="25" t="s">
        <v>614</v>
      </c>
      <c r="E52" s="51">
        <v>0.197601645463718</v>
      </c>
      <c r="F52" s="43">
        <v>4</v>
      </c>
      <c r="G52" s="43"/>
    </row>
    <row r="53" spans="3:11">
      <c r="D53" s="25" t="s">
        <v>615</v>
      </c>
      <c r="E53" s="51">
        <v>0.19365190990567765</v>
      </c>
      <c r="F53" s="43">
        <v>11</v>
      </c>
      <c r="G53" s="43"/>
    </row>
    <row r="54" spans="3:11">
      <c r="D54" s="24" t="s">
        <v>581</v>
      </c>
      <c r="E54" s="51">
        <v>0.16717504931075175</v>
      </c>
      <c r="F54" s="43">
        <v>68</v>
      </c>
      <c r="G54" s="62">
        <f>AVERAGE(G42:G53)</f>
        <v>-4.6936564298710057E-2</v>
      </c>
      <c r="K54" s="39"/>
    </row>
    <row r="61" spans="3:11" ht="21">
      <c r="G61" s="45"/>
    </row>
    <row r="62" spans="3:11" ht="15.6" customHeight="1">
      <c r="F62" s="27"/>
    </row>
    <row r="63" spans="3:11">
      <c r="C63" s="69"/>
      <c r="D63" s="23" t="s">
        <v>580</v>
      </c>
      <c r="E63" t="s">
        <v>594</v>
      </c>
      <c r="F63" s="66" t="s">
        <v>617</v>
      </c>
      <c r="G63" s="66" t="s">
        <v>618</v>
      </c>
    </row>
    <row r="64" spans="3:11" ht="13.2" customHeight="1">
      <c r="C64" s="69" t="s">
        <v>25</v>
      </c>
      <c r="D64" s="24" t="s">
        <v>25</v>
      </c>
      <c r="E64" s="37">
        <v>422554</v>
      </c>
      <c r="F64" s="68">
        <f>_xlfn.XLOOKUP(D64,TBL_Campaign_Data_1[Campaign_Name],TBL_Campaign_Data_1[Total_Budget])</f>
        <v>180000</v>
      </c>
      <c r="G64" s="52">
        <f>GETPIVOTDATA("Total Interactions",$D$63,"Campaign_Name","EndOfSeasonSale")/F64</f>
        <v>2.3475222222222221</v>
      </c>
    </row>
    <row r="65" spans="3:7">
      <c r="C65" s="69" t="s">
        <v>19</v>
      </c>
      <c r="D65" s="24" t="s">
        <v>19</v>
      </c>
      <c r="E65" s="37">
        <v>402630</v>
      </c>
      <c r="F65" s="68">
        <f>_xlfn.XLOOKUP(D65,TBL_Campaign_Data_1[Campaign_Name],TBL_Campaign_Data_1[Total_Budget])</f>
        <v>160000</v>
      </c>
      <c r="G65" s="52">
        <f t="shared" ref="G65:G68" si="0">GETPIVOTDATA("Total Interactions",$D$63,"Campaign_Name","EndOfSeasonSale")/F65</f>
        <v>2.6409625000000001</v>
      </c>
    </row>
    <row r="66" spans="3:7">
      <c r="C66" s="69" t="s">
        <v>38</v>
      </c>
      <c r="D66" s="24" t="s">
        <v>38</v>
      </c>
      <c r="E66" s="37">
        <v>405828</v>
      </c>
      <c r="F66" s="68">
        <f>_xlfn.XLOOKUP(D66,TBL_Campaign_Data_1[Campaign_Name],TBL_Campaign_Data_1[Total_Budget])</f>
        <v>220000</v>
      </c>
      <c r="G66" s="52">
        <f t="shared" si="0"/>
        <v>1.9207000000000001</v>
      </c>
    </row>
    <row r="67" spans="3:7">
      <c r="C67" s="69" t="s">
        <v>55</v>
      </c>
      <c r="D67" s="24" t="s">
        <v>55</v>
      </c>
      <c r="E67" s="37">
        <v>344586</v>
      </c>
      <c r="F67" s="68">
        <f>_xlfn.XLOOKUP(D67,TBL_Campaign_Data_1[Campaign_Name],TBL_Campaign_Data_1[Total_Budget])</f>
        <v>200000</v>
      </c>
      <c r="G67" s="52">
        <f t="shared" si="0"/>
        <v>2.1127699999999998</v>
      </c>
    </row>
    <row r="68" spans="3:7">
      <c r="D68" s="24" t="s">
        <v>581</v>
      </c>
      <c r="E68" s="37">
        <v>1575598</v>
      </c>
      <c r="F68" s="67">
        <f>SUM(F64:F67)</f>
        <v>760000</v>
      </c>
      <c r="G68" s="67">
        <f t="shared" si="0"/>
        <v>0.5559921052631579</v>
      </c>
    </row>
    <row r="83" spans="4:13">
      <c r="M83" s="36"/>
    </row>
    <row r="84" spans="4:13" ht="21">
      <c r="G84" s="45"/>
    </row>
    <row r="86" spans="4:13">
      <c r="D86" s="23" t="s">
        <v>580</v>
      </c>
      <c r="E86" t="s">
        <v>620</v>
      </c>
    </row>
    <row r="87" spans="4:13">
      <c r="D87" s="24" t="s">
        <v>55</v>
      </c>
      <c r="E87">
        <v>9875</v>
      </c>
    </row>
    <row r="88" spans="4:13">
      <c r="D88" s="25" t="s">
        <v>31</v>
      </c>
      <c r="E88">
        <v>5931</v>
      </c>
    </row>
    <row r="89" spans="4:13">
      <c r="D89" s="25" t="s">
        <v>14</v>
      </c>
      <c r="E89">
        <v>3944</v>
      </c>
    </row>
    <row r="90" spans="4:13">
      <c r="D90" s="24" t="s">
        <v>38</v>
      </c>
      <c r="E90">
        <v>8643</v>
      </c>
    </row>
    <row r="91" spans="4:13">
      <c r="D91" s="25" t="s">
        <v>40</v>
      </c>
      <c r="E91">
        <v>3312</v>
      </c>
    </row>
    <row r="92" spans="4:13">
      <c r="D92" s="25" t="s">
        <v>31</v>
      </c>
      <c r="E92">
        <v>5331</v>
      </c>
    </row>
    <row r="93" spans="4:13">
      <c r="D93" s="24" t="s">
        <v>25</v>
      </c>
      <c r="E93">
        <v>6219</v>
      </c>
    </row>
    <row r="94" spans="4:13">
      <c r="D94" s="25" t="s">
        <v>40</v>
      </c>
      <c r="E94">
        <v>4399</v>
      </c>
    </row>
    <row r="95" spans="4:13">
      <c r="D95" s="25" t="s">
        <v>31</v>
      </c>
      <c r="E95">
        <v>1820</v>
      </c>
    </row>
    <row r="96" spans="4:13">
      <c r="D96" s="24" t="s">
        <v>19</v>
      </c>
      <c r="E96">
        <v>4931</v>
      </c>
    </row>
    <row r="97" spans="4:5">
      <c r="D97" s="25" t="s">
        <v>31</v>
      </c>
      <c r="E97">
        <v>3362</v>
      </c>
    </row>
    <row r="98" spans="4:5">
      <c r="D98" s="25" t="s">
        <v>27</v>
      </c>
      <c r="E98">
        <v>1569</v>
      </c>
    </row>
    <row r="99" spans="4:5">
      <c r="D99" s="24" t="s">
        <v>581</v>
      </c>
      <c r="E99">
        <v>29668</v>
      </c>
    </row>
  </sheetData>
  <conditionalFormatting sqref="G42:G53">
    <cfRule type="iconSet" priority="2">
      <iconSet iconSet="3Arrows">
        <cfvo type="percent" val="0"/>
        <cfvo type="percent" val="33"/>
        <cfvo type="percent" val="67"/>
      </iconSet>
    </cfRule>
  </conditionalFormatting>
  <conditionalFormatting sqref="G64:G67">
    <cfRule type="iconSet" priority="1">
      <iconSet iconSet="3Arrows">
        <cfvo type="percent" val="0"/>
        <cfvo type="percent" val="33"/>
        <cfvo type="percent" val="67"/>
      </iconSet>
    </cfRule>
  </conditionalFormatting>
  <pageMargins left="0.7" right="0.7" top="0.75" bottom="0.75" header="0.3" footer="0.3"/>
  <drawing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B8EA6-9A28-461E-980E-4A08DA0524B4}">
  <sheetPr codeName="Sheet16"/>
  <dimension ref="C6:J177"/>
  <sheetViews>
    <sheetView showGridLines="0" zoomScale="85" zoomScaleNormal="85" workbookViewId="0">
      <pane ySplit="3" topLeftCell="A157" activePane="bottomLeft" state="frozen"/>
      <selection pane="bottomLeft" activeCell="M159" sqref="M159"/>
    </sheetView>
  </sheetViews>
  <sheetFormatPr defaultRowHeight="14.4"/>
  <cols>
    <col min="2" max="2" width="11.5546875" customWidth="1"/>
    <col min="3" max="3" width="16.33203125" customWidth="1"/>
    <col min="4" max="4" width="18.88671875" customWidth="1"/>
    <col min="5" max="5" width="17" bestFit="1" customWidth="1"/>
    <col min="6" max="6" width="21.33203125" bestFit="1" customWidth="1"/>
    <col min="7" max="7" width="17.6640625" bestFit="1" customWidth="1"/>
    <col min="8" max="8" width="8.77734375" bestFit="1" customWidth="1"/>
    <col min="9" max="9" width="11.44140625" bestFit="1" customWidth="1"/>
    <col min="10" max="10" width="17.6640625" bestFit="1" customWidth="1"/>
    <col min="11" max="11" width="24" bestFit="1" customWidth="1"/>
    <col min="12" max="12" width="28.33203125" bestFit="1" customWidth="1"/>
    <col min="13" max="13" width="24.6640625" bestFit="1" customWidth="1"/>
    <col min="14" max="14" width="24" bestFit="1" customWidth="1"/>
    <col min="15" max="15" width="28.33203125" bestFit="1" customWidth="1"/>
    <col min="16" max="16" width="24.6640625" bestFit="1" customWidth="1"/>
    <col min="17" max="17" width="29.21875" bestFit="1" customWidth="1"/>
    <col min="18" max="18" width="33.5546875" bestFit="1" customWidth="1"/>
    <col min="19" max="19" width="29.88671875" bestFit="1" customWidth="1"/>
    <col min="20" max="35" width="27.33203125" bestFit="1" customWidth="1"/>
    <col min="36" max="36" width="17.21875" bestFit="1" customWidth="1"/>
    <col min="37" max="37" width="21.77734375" bestFit="1" customWidth="1"/>
    <col min="38" max="38" width="18.88671875" bestFit="1" customWidth="1"/>
    <col min="39" max="39" width="23.5546875" bestFit="1" customWidth="1"/>
    <col min="40" max="40" width="22.5546875" bestFit="1" customWidth="1"/>
    <col min="41" max="41" width="27.21875" bestFit="1" customWidth="1"/>
    <col min="42" max="42" width="30" bestFit="1" customWidth="1"/>
    <col min="43" max="43" width="32.5546875" bestFit="1" customWidth="1"/>
  </cols>
  <sheetData>
    <row r="6" spans="4:9" ht="21">
      <c r="G6" s="45"/>
    </row>
    <row r="9" spans="4:9" ht="28.8">
      <c r="D9" s="82" t="s">
        <v>621</v>
      </c>
      <c r="E9" s="23" t="s">
        <v>595</v>
      </c>
    </row>
    <row r="10" spans="4:9">
      <c r="D10" s="23" t="s">
        <v>580</v>
      </c>
      <c r="E10" t="s">
        <v>40</v>
      </c>
      <c r="F10" t="s">
        <v>31</v>
      </c>
      <c r="G10" t="s">
        <v>14</v>
      </c>
      <c r="H10" t="s">
        <v>27</v>
      </c>
      <c r="I10" t="s">
        <v>581</v>
      </c>
    </row>
    <row r="11" spans="4:9">
      <c r="D11" s="24" t="s">
        <v>622</v>
      </c>
      <c r="E11">
        <v>22366</v>
      </c>
      <c r="F11">
        <v>29835</v>
      </c>
      <c r="G11">
        <v>25750</v>
      </c>
      <c r="H11">
        <v>20290</v>
      </c>
      <c r="I11">
        <v>98241</v>
      </c>
    </row>
    <row r="12" spans="4:9">
      <c r="D12" s="25" t="s">
        <v>629</v>
      </c>
      <c r="E12">
        <v>5337</v>
      </c>
      <c r="F12">
        <v>3086</v>
      </c>
      <c r="G12">
        <v>2731</v>
      </c>
      <c r="H12">
        <v>2298</v>
      </c>
      <c r="I12">
        <v>13452</v>
      </c>
    </row>
    <row r="13" spans="4:9">
      <c r="D13" s="25" t="s">
        <v>630</v>
      </c>
      <c r="E13">
        <v>852</v>
      </c>
      <c r="F13">
        <v>3998</v>
      </c>
      <c r="G13">
        <v>5144</v>
      </c>
      <c r="H13">
        <v>1557</v>
      </c>
      <c r="I13">
        <v>11551</v>
      </c>
    </row>
    <row r="14" spans="4:9">
      <c r="D14" s="25" t="s">
        <v>631</v>
      </c>
      <c r="E14">
        <v>2232</v>
      </c>
      <c r="F14">
        <v>3362</v>
      </c>
      <c r="G14">
        <v>3259</v>
      </c>
      <c r="H14">
        <v>1569</v>
      </c>
      <c r="I14">
        <v>10422</v>
      </c>
    </row>
    <row r="15" spans="4:9">
      <c r="D15" s="25" t="s">
        <v>632</v>
      </c>
      <c r="E15">
        <v>2373</v>
      </c>
      <c r="F15">
        <v>4887</v>
      </c>
      <c r="G15">
        <v>3861</v>
      </c>
      <c r="H15">
        <v>4113</v>
      </c>
      <c r="I15">
        <v>15234</v>
      </c>
    </row>
    <row r="16" spans="4:9">
      <c r="D16" s="25" t="s">
        <v>633</v>
      </c>
      <c r="E16">
        <v>2772</v>
      </c>
      <c r="F16">
        <v>3934</v>
      </c>
      <c r="G16">
        <v>760</v>
      </c>
      <c r="H16">
        <v>3626</v>
      </c>
      <c r="I16">
        <v>11092</v>
      </c>
    </row>
    <row r="17" spans="4:9">
      <c r="D17" s="25" t="s">
        <v>634</v>
      </c>
      <c r="E17">
        <v>1838</v>
      </c>
      <c r="F17">
        <v>3943</v>
      </c>
      <c r="G17">
        <v>3296</v>
      </c>
      <c r="H17">
        <v>2338</v>
      </c>
      <c r="I17">
        <v>11415</v>
      </c>
    </row>
    <row r="18" spans="4:9">
      <c r="D18" s="25" t="s">
        <v>635</v>
      </c>
      <c r="E18">
        <v>6962</v>
      </c>
      <c r="F18">
        <v>6625</v>
      </c>
      <c r="G18">
        <v>6699</v>
      </c>
      <c r="H18">
        <v>4789</v>
      </c>
      <c r="I18">
        <v>25075</v>
      </c>
    </row>
    <row r="19" spans="4:9" ht="14.4" customHeight="1">
      <c r="D19" s="24" t="s">
        <v>623</v>
      </c>
      <c r="E19">
        <v>13191</v>
      </c>
      <c r="F19">
        <v>18169</v>
      </c>
      <c r="G19">
        <v>15427</v>
      </c>
      <c r="H19">
        <v>15077</v>
      </c>
      <c r="I19">
        <v>61864</v>
      </c>
    </row>
    <row r="20" spans="4:9" ht="14.4" customHeight="1">
      <c r="D20" s="25" t="s">
        <v>624</v>
      </c>
      <c r="E20">
        <v>2243</v>
      </c>
      <c r="F20">
        <v>4031</v>
      </c>
      <c r="G20">
        <v>3361</v>
      </c>
      <c r="H20">
        <v>3696</v>
      </c>
      <c r="I20">
        <v>13331</v>
      </c>
    </row>
    <row r="21" spans="4:9">
      <c r="D21" s="25" t="s">
        <v>625</v>
      </c>
      <c r="E21">
        <v>4957</v>
      </c>
      <c r="F21">
        <v>5143</v>
      </c>
      <c r="G21">
        <v>2442</v>
      </c>
      <c r="H21">
        <v>3432</v>
      </c>
      <c r="I21">
        <v>15974</v>
      </c>
    </row>
    <row r="22" spans="4:9">
      <c r="D22" s="25" t="s">
        <v>626</v>
      </c>
      <c r="E22">
        <v>2893</v>
      </c>
      <c r="F22">
        <v>3309</v>
      </c>
      <c r="G22">
        <v>5078</v>
      </c>
      <c r="H22">
        <v>4798</v>
      </c>
      <c r="I22">
        <v>16078</v>
      </c>
    </row>
    <row r="23" spans="4:9">
      <c r="D23" s="25" t="s">
        <v>627</v>
      </c>
      <c r="E23">
        <v>2352</v>
      </c>
      <c r="F23">
        <v>2149</v>
      </c>
      <c r="G23">
        <v>2767</v>
      </c>
      <c r="H23">
        <v>2624</v>
      </c>
      <c r="I23">
        <v>9892</v>
      </c>
    </row>
    <row r="24" spans="4:9">
      <c r="D24" s="25" t="s">
        <v>628</v>
      </c>
      <c r="E24">
        <v>746</v>
      </c>
      <c r="F24">
        <v>3537</v>
      </c>
      <c r="G24">
        <v>1779</v>
      </c>
      <c r="H24">
        <v>527</v>
      </c>
      <c r="I24">
        <v>6589</v>
      </c>
    </row>
    <row r="25" spans="4:9">
      <c r="D25" s="24" t="s">
        <v>581</v>
      </c>
      <c r="E25">
        <v>35557</v>
      </c>
      <c r="F25">
        <v>48004</v>
      </c>
      <c r="G25">
        <v>41177</v>
      </c>
      <c r="H25">
        <v>35367</v>
      </c>
      <c r="I25">
        <v>160105</v>
      </c>
    </row>
    <row r="38" spans="4:4">
      <c r="D38" s="36"/>
    </row>
    <row r="40" spans="4:4">
      <c r="D40" s="36"/>
    </row>
    <row r="54" spans="3:9" ht="28.8">
      <c r="D54" s="82" t="s">
        <v>621</v>
      </c>
      <c r="E54" s="23" t="s">
        <v>595</v>
      </c>
    </row>
    <row r="55" spans="3:9">
      <c r="D55" s="23" t="s">
        <v>580</v>
      </c>
      <c r="E55" t="s">
        <v>40</v>
      </c>
      <c r="F55" t="s">
        <v>31</v>
      </c>
      <c r="G55" t="s">
        <v>14</v>
      </c>
      <c r="H55" t="s">
        <v>27</v>
      </c>
      <c r="I55" t="s">
        <v>581</v>
      </c>
    </row>
    <row r="56" spans="3:9">
      <c r="D56" s="24" t="s">
        <v>622</v>
      </c>
      <c r="E56">
        <v>22366</v>
      </c>
      <c r="F56">
        <v>29835</v>
      </c>
      <c r="G56">
        <v>25750</v>
      </c>
      <c r="H56">
        <v>20290</v>
      </c>
      <c r="I56">
        <v>98241</v>
      </c>
    </row>
    <row r="57" spans="3:9">
      <c r="D57" s="25" t="s">
        <v>635</v>
      </c>
      <c r="E57">
        <v>6962</v>
      </c>
      <c r="F57">
        <v>6625</v>
      </c>
      <c r="G57">
        <v>6699</v>
      </c>
      <c r="H57">
        <v>4789</v>
      </c>
      <c r="I57">
        <v>25075</v>
      </c>
    </row>
    <row r="58" spans="3:9">
      <c r="D58" s="83">
        <v>45628</v>
      </c>
      <c r="E58">
        <v>1706</v>
      </c>
      <c r="F58">
        <v>1625</v>
      </c>
      <c r="G58">
        <v>1173</v>
      </c>
      <c r="H58">
        <v>291</v>
      </c>
      <c r="I58">
        <v>4795</v>
      </c>
    </row>
    <row r="59" spans="3:9">
      <c r="D59" s="83">
        <v>45635</v>
      </c>
      <c r="E59">
        <v>1373</v>
      </c>
      <c r="F59">
        <v>1119</v>
      </c>
      <c r="G59">
        <v>1727</v>
      </c>
      <c r="H59">
        <v>573</v>
      </c>
      <c r="I59">
        <v>4792</v>
      </c>
    </row>
    <row r="60" spans="3:9" ht="15.6" customHeight="1">
      <c r="D60" s="83">
        <v>45642</v>
      </c>
      <c r="E60">
        <v>1377</v>
      </c>
      <c r="F60">
        <v>1432</v>
      </c>
      <c r="G60">
        <v>1359</v>
      </c>
      <c r="H60">
        <v>876</v>
      </c>
      <c r="I60">
        <v>5044</v>
      </c>
    </row>
    <row r="61" spans="3:9">
      <c r="C61" s="69"/>
      <c r="D61" s="83">
        <v>45649</v>
      </c>
      <c r="E61">
        <v>730</v>
      </c>
      <c r="F61">
        <v>684</v>
      </c>
      <c r="G61">
        <v>911</v>
      </c>
      <c r="H61">
        <v>1589</v>
      </c>
      <c r="I61">
        <v>3914</v>
      </c>
    </row>
    <row r="62" spans="3:9" ht="13.2" customHeight="1">
      <c r="C62" s="69"/>
      <c r="D62" s="83">
        <v>45656</v>
      </c>
      <c r="E62">
        <v>1776</v>
      </c>
      <c r="F62">
        <v>1765</v>
      </c>
      <c r="G62">
        <v>1529</v>
      </c>
      <c r="H62">
        <v>1460</v>
      </c>
      <c r="I62">
        <v>6530</v>
      </c>
    </row>
    <row r="63" spans="3:9">
      <c r="C63" s="69"/>
      <c r="D63" s="25" t="s">
        <v>632</v>
      </c>
      <c r="E63">
        <v>2373</v>
      </c>
      <c r="F63">
        <v>4887</v>
      </c>
      <c r="G63">
        <v>3861</v>
      </c>
      <c r="H63">
        <v>4113</v>
      </c>
      <c r="I63">
        <v>15234</v>
      </c>
    </row>
    <row r="64" spans="3:9">
      <c r="C64" s="69"/>
      <c r="D64" s="25" t="s">
        <v>629</v>
      </c>
      <c r="E64">
        <v>5337</v>
      </c>
      <c r="F64">
        <v>3086</v>
      </c>
      <c r="G64">
        <v>2731</v>
      </c>
      <c r="H64">
        <v>2298</v>
      </c>
      <c r="I64">
        <v>13452</v>
      </c>
    </row>
    <row r="65" spans="3:9">
      <c r="C65" s="69"/>
      <c r="D65" s="25" t="s">
        <v>630</v>
      </c>
      <c r="E65">
        <v>852</v>
      </c>
      <c r="F65">
        <v>3998</v>
      </c>
      <c r="G65">
        <v>5144</v>
      </c>
      <c r="H65">
        <v>1557</v>
      </c>
      <c r="I65">
        <v>11551</v>
      </c>
    </row>
    <row r="66" spans="3:9">
      <c r="D66" s="25" t="s">
        <v>634</v>
      </c>
      <c r="E66">
        <v>1838</v>
      </c>
      <c r="F66">
        <v>3943</v>
      </c>
      <c r="G66">
        <v>3296</v>
      </c>
      <c r="H66">
        <v>2338</v>
      </c>
      <c r="I66">
        <v>11415</v>
      </c>
    </row>
    <row r="67" spans="3:9">
      <c r="D67" s="25" t="s">
        <v>633</v>
      </c>
      <c r="E67">
        <v>2772</v>
      </c>
      <c r="F67">
        <v>3934</v>
      </c>
      <c r="G67">
        <v>760</v>
      </c>
      <c r="H67">
        <v>3626</v>
      </c>
      <c r="I67">
        <v>11092</v>
      </c>
    </row>
    <row r="68" spans="3:9">
      <c r="D68" s="25" t="s">
        <v>631</v>
      </c>
      <c r="E68">
        <v>2232</v>
      </c>
      <c r="F68">
        <v>3362</v>
      </c>
      <c r="G68">
        <v>3259</v>
      </c>
      <c r="H68">
        <v>1569</v>
      </c>
      <c r="I68">
        <v>10422</v>
      </c>
    </row>
    <row r="69" spans="3:9">
      <c r="D69" s="24" t="s">
        <v>623</v>
      </c>
      <c r="E69">
        <v>13191</v>
      </c>
      <c r="F69">
        <v>18169</v>
      </c>
      <c r="G69">
        <v>15427</v>
      </c>
      <c r="H69">
        <v>15077</v>
      </c>
      <c r="I69">
        <v>61864</v>
      </c>
    </row>
    <row r="70" spans="3:9">
      <c r="D70" s="25" t="s">
        <v>626</v>
      </c>
      <c r="E70">
        <v>2893</v>
      </c>
      <c r="F70">
        <v>3309</v>
      </c>
      <c r="G70">
        <v>5078</v>
      </c>
      <c r="H70">
        <v>4798</v>
      </c>
      <c r="I70">
        <v>16078</v>
      </c>
    </row>
    <row r="71" spans="3:9">
      <c r="D71" s="25" t="s">
        <v>625</v>
      </c>
      <c r="E71">
        <v>4957</v>
      </c>
      <c r="F71">
        <v>5143</v>
      </c>
      <c r="G71">
        <v>2442</v>
      </c>
      <c r="H71">
        <v>3432</v>
      </c>
      <c r="I71">
        <v>15974</v>
      </c>
    </row>
    <row r="72" spans="3:9">
      <c r="D72" s="25" t="s">
        <v>624</v>
      </c>
      <c r="E72">
        <v>2243</v>
      </c>
      <c r="F72">
        <v>4031</v>
      </c>
      <c r="G72">
        <v>3361</v>
      </c>
      <c r="H72">
        <v>3696</v>
      </c>
      <c r="I72">
        <v>13331</v>
      </c>
    </row>
    <row r="73" spans="3:9">
      <c r="D73" s="25" t="s">
        <v>627</v>
      </c>
      <c r="E73">
        <v>2352</v>
      </c>
      <c r="F73">
        <v>2149</v>
      </c>
      <c r="G73">
        <v>2767</v>
      </c>
      <c r="H73">
        <v>2624</v>
      </c>
      <c r="I73">
        <v>9892</v>
      </c>
    </row>
    <row r="74" spans="3:9">
      <c r="D74" s="25" t="s">
        <v>628</v>
      </c>
      <c r="E74">
        <v>746</v>
      </c>
      <c r="F74">
        <v>3537</v>
      </c>
      <c r="G74">
        <v>1779</v>
      </c>
      <c r="H74">
        <v>527</v>
      </c>
      <c r="I74">
        <v>6589</v>
      </c>
    </row>
    <row r="75" spans="3:9">
      <c r="D75" s="24" t="s">
        <v>581</v>
      </c>
      <c r="E75">
        <v>35557</v>
      </c>
      <c r="F75">
        <v>48004</v>
      </c>
      <c r="G75">
        <v>41177</v>
      </c>
      <c r="H75">
        <v>35367</v>
      </c>
      <c r="I75">
        <v>160105</v>
      </c>
    </row>
    <row r="83" spans="4:10" ht="28.8">
      <c r="D83" s="82" t="s">
        <v>621</v>
      </c>
      <c r="E83" s="23" t="s">
        <v>595</v>
      </c>
      <c r="J83" s="70"/>
    </row>
    <row r="84" spans="4:10">
      <c r="D84" s="23" t="s">
        <v>580</v>
      </c>
      <c r="E84" t="s">
        <v>40</v>
      </c>
      <c r="F84" t="s">
        <v>31</v>
      </c>
      <c r="G84" t="s">
        <v>14</v>
      </c>
      <c r="H84" t="s">
        <v>27</v>
      </c>
      <c r="I84" t="s">
        <v>581</v>
      </c>
      <c r="J84" s="71" t="s">
        <v>668</v>
      </c>
    </row>
    <row r="85" spans="4:10">
      <c r="D85" s="72">
        <v>45446</v>
      </c>
      <c r="E85">
        <v>1002</v>
      </c>
      <c r="F85">
        <v>1047</v>
      </c>
      <c r="G85">
        <v>415</v>
      </c>
      <c r="H85">
        <v>1090</v>
      </c>
      <c r="I85">
        <v>3554</v>
      </c>
      <c r="J85" s="86"/>
    </row>
    <row r="86" spans="4:10">
      <c r="D86" s="72">
        <v>45453</v>
      </c>
      <c r="E86">
        <v>1283</v>
      </c>
      <c r="F86">
        <v>517</v>
      </c>
      <c r="G86">
        <v>186</v>
      </c>
      <c r="H86">
        <v>994</v>
      </c>
      <c r="I86">
        <v>2980</v>
      </c>
      <c r="J86" s="86"/>
    </row>
    <row r="87" spans="4:10">
      <c r="D87" s="72">
        <v>45460</v>
      </c>
      <c r="E87">
        <v>1382</v>
      </c>
      <c r="F87">
        <v>893</v>
      </c>
      <c r="G87">
        <v>1295</v>
      </c>
      <c r="H87">
        <v>337</v>
      </c>
      <c r="I87">
        <v>3907</v>
      </c>
      <c r="J87" s="86">
        <f>AVERAGE(I85:I87)</f>
        <v>3480.3333333333335</v>
      </c>
    </row>
    <row r="88" spans="4:10">
      <c r="D88" s="72">
        <v>45467</v>
      </c>
      <c r="E88">
        <v>1670</v>
      </c>
      <c r="F88">
        <v>629</v>
      </c>
      <c r="G88">
        <v>835</v>
      </c>
      <c r="H88">
        <v>-123</v>
      </c>
      <c r="I88">
        <v>3011</v>
      </c>
      <c r="J88" s="86">
        <f t="shared" ref="J88:J134" si="0">AVERAGE(I86:I88)</f>
        <v>3299.3333333333335</v>
      </c>
    </row>
    <row r="89" spans="4:10">
      <c r="D89" s="72">
        <v>45474</v>
      </c>
      <c r="E89">
        <v>64</v>
      </c>
      <c r="F89">
        <v>-219</v>
      </c>
      <c r="G89">
        <v>1357</v>
      </c>
      <c r="H89">
        <v>91</v>
      </c>
      <c r="I89">
        <v>1293</v>
      </c>
      <c r="J89" s="86">
        <f t="shared" si="0"/>
        <v>2737</v>
      </c>
    </row>
    <row r="90" spans="4:10">
      <c r="D90" s="72">
        <v>45481</v>
      </c>
      <c r="E90">
        <v>309</v>
      </c>
      <c r="F90">
        <v>1672</v>
      </c>
      <c r="G90">
        <v>547</v>
      </c>
      <c r="H90">
        <v>514</v>
      </c>
      <c r="I90">
        <v>3042</v>
      </c>
      <c r="J90" s="86">
        <f t="shared" si="0"/>
        <v>2448.6666666666665</v>
      </c>
    </row>
    <row r="91" spans="4:10">
      <c r="D91" s="72">
        <v>45488</v>
      </c>
      <c r="E91">
        <v>-164</v>
      </c>
      <c r="F91">
        <v>1845</v>
      </c>
      <c r="G91">
        <v>429</v>
      </c>
      <c r="H91">
        <v>160</v>
      </c>
      <c r="I91">
        <v>2270</v>
      </c>
      <c r="J91" s="86">
        <f t="shared" si="0"/>
        <v>2201.6666666666665</v>
      </c>
    </row>
    <row r="92" spans="4:10">
      <c r="D92" s="72">
        <v>45495</v>
      </c>
      <c r="E92">
        <v>961</v>
      </c>
      <c r="F92">
        <v>159</v>
      </c>
      <c r="G92">
        <v>1316</v>
      </c>
      <c r="H92">
        <v>317</v>
      </c>
      <c r="I92">
        <v>2753</v>
      </c>
      <c r="J92" s="86">
        <f t="shared" si="0"/>
        <v>2688.3333333333335</v>
      </c>
    </row>
    <row r="93" spans="4:10">
      <c r="D93" s="72">
        <v>45502</v>
      </c>
      <c r="E93">
        <v>-318</v>
      </c>
      <c r="F93">
        <v>541</v>
      </c>
      <c r="G93">
        <v>1495</v>
      </c>
      <c r="H93">
        <v>475</v>
      </c>
      <c r="I93">
        <v>2193</v>
      </c>
      <c r="J93" s="86">
        <f t="shared" si="0"/>
        <v>2405.3333333333335</v>
      </c>
    </row>
    <row r="94" spans="4:10">
      <c r="D94" s="72">
        <v>45509</v>
      </c>
      <c r="E94">
        <v>-197</v>
      </c>
      <c r="F94">
        <v>352</v>
      </c>
      <c r="G94">
        <v>328</v>
      </c>
      <c r="H94">
        <v>319</v>
      </c>
      <c r="I94">
        <v>802</v>
      </c>
      <c r="J94" s="86">
        <f t="shared" si="0"/>
        <v>1916</v>
      </c>
    </row>
    <row r="95" spans="4:10">
      <c r="D95" s="72">
        <v>45516</v>
      </c>
      <c r="E95">
        <v>1334</v>
      </c>
      <c r="F95">
        <v>1325</v>
      </c>
      <c r="G95">
        <v>37</v>
      </c>
      <c r="H95">
        <v>1032</v>
      </c>
      <c r="I95">
        <v>3728</v>
      </c>
      <c r="J95" s="86">
        <f t="shared" si="0"/>
        <v>2241</v>
      </c>
    </row>
    <row r="96" spans="4:10">
      <c r="D96" s="72">
        <v>45523</v>
      </c>
      <c r="E96">
        <v>1058</v>
      </c>
      <c r="F96">
        <v>76</v>
      </c>
      <c r="G96">
        <v>1665</v>
      </c>
      <c r="H96">
        <v>190</v>
      </c>
      <c r="I96">
        <v>2989</v>
      </c>
      <c r="J96" s="86">
        <f t="shared" si="0"/>
        <v>2506.3333333333335</v>
      </c>
    </row>
    <row r="97" spans="4:10">
      <c r="D97" s="72">
        <v>45530</v>
      </c>
      <c r="E97">
        <v>37</v>
      </c>
      <c r="F97">
        <v>1609</v>
      </c>
      <c r="G97">
        <v>1229</v>
      </c>
      <c r="H97">
        <v>28</v>
      </c>
      <c r="I97">
        <v>2903</v>
      </c>
      <c r="J97" s="86">
        <f t="shared" si="0"/>
        <v>3206.6666666666665</v>
      </c>
    </row>
    <row r="98" spans="4:10">
      <c r="D98" s="72">
        <v>45537</v>
      </c>
      <c r="E98">
        <v>1045</v>
      </c>
      <c r="F98">
        <v>1247</v>
      </c>
      <c r="G98">
        <v>197</v>
      </c>
      <c r="H98">
        <v>333</v>
      </c>
      <c r="I98">
        <v>2822</v>
      </c>
      <c r="J98" s="86">
        <f t="shared" si="0"/>
        <v>2904.6666666666665</v>
      </c>
    </row>
    <row r="99" spans="4:10">
      <c r="D99" s="72">
        <v>45544</v>
      </c>
      <c r="E99">
        <v>1428</v>
      </c>
      <c r="F99">
        <v>1572</v>
      </c>
      <c r="G99">
        <v>260</v>
      </c>
      <c r="H99">
        <v>1100</v>
      </c>
      <c r="I99">
        <v>4360</v>
      </c>
      <c r="J99" s="86">
        <f t="shared" si="0"/>
        <v>3361.6666666666665</v>
      </c>
    </row>
    <row r="100" spans="4:10">
      <c r="D100" s="72">
        <v>45551</v>
      </c>
      <c r="E100">
        <v>98</v>
      </c>
      <c r="F100">
        <v>377</v>
      </c>
      <c r="G100">
        <v>1125</v>
      </c>
      <c r="H100">
        <v>-32</v>
      </c>
      <c r="I100">
        <v>1568</v>
      </c>
      <c r="J100" s="86">
        <f t="shared" si="0"/>
        <v>2916.6666666666665</v>
      </c>
    </row>
    <row r="101" spans="4:10">
      <c r="D101" s="72">
        <v>45558</v>
      </c>
      <c r="E101">
        <v>-19</v>
      </c>
      <c r="F101">
        <v>666</v>
      </c>
      <c r="G101">
        <v>1680</v>
      </c>
      <c r="H101">
        <v>1006</v>
      </c>
      <c r="I101">
        <v>3333</v>
      </c>
      <c r="J101" s="86">
        <f t="shared" si="0"/>
        <v>3087</v>
      </c>
    </row>
    <row r="102" spans="4:10">
      <c r="D102" s="72">
        <v>45565</v>
      </c>
      <c r="E102">
        <v>-179</v>
      </c>
      <c r="F102">
        <v>1025</v>
      </c>
      <c r="G102">
        <v>599</v>
      </c>
      <c r="H102">
        <v>1706</v>
      </c>
      <c r="I102">
        <v>3151</v>
      </c>
      <c r="J102" s="86">
        <f t="shared" si="0"/>
        <v>2684</v>
      </c>
    </row>
    <row r="103" spans="4:10">
      <c r="D103" s="72">
        <v>45572</v>
      </c>
      <c r="E103">
        <v>1662</v>
      </c>
      <c r="F103">
        <v>1872</v>
      </c>
      <c r="G103">
        <v>107</v>
      </c>
      <c r="H103">
        <v>118</v>
      </c>
      <c r="I103">
        <v>3759</v>
      </c>
      <c r="J103" s="86">
        <f t="shared" si="0"/>
        <v>3414.3333333333335</v>
      </c>
    </row>
    <row r="104" spans="4:10">
      <c r="D104" s="72">
        <v>45579</v>
      </c>
      <c r="E104">
        <v>285</v>
      </c>
      <c r="F104">
        <v>1224</v>
      </c>
      <c r="G104">
        <v>-20</v>
      </c>
      <c r="H104">
        <v>367</v>
      </c>
      <c r="I104">
        <v>1856</v>
      </c>
      <c r="J104" s="86">
        <f t="shared" si="0"/>
        <v>2922</v>
      </c>
    </row>
    <row r="105" spans="4:10">
      <c r="D105" s="72">
        <v>45586</v>
      </c>
      <c r="E105">
        <v>439</v>
      </c>
      <c r="F105">
        <v>262</v>
      </c>
      <c r="G105">
        <v>636</v>
      </c>
      <c r="H105">
        <v>1484</v>
      </c>
      <c r="I105">
        <v>2821</v>
      </c>
      <c r="J105" s="86">
        <f t="shared" si="0"/>
        <v>2812</v>
      </c>
    </row>
    <row r="106" spans="4:10">
      <c r="D106" s="72">
        <v>45593</v>
      </c>
      <c r="E106">
        <v>386</v>
      </c>
      <c r="F106">
        <v>576</v>
      </c>
      <c r="G106">
        <v>37</v>
      </c>
      <c r="H106">
        <v>1657</v>
      </c>
      <c r="I106">
        <v>2656</v>
      </c>
      <c r="J106" s="86">
        <f t="shared" si="0"/>
        <v>2444.3333333333335</v>
      </c>
    </row>
    <row r="107" spans="4:10">
      <c r="D107" s="72">
        <v>45600</v>
      </c>
      <c r="E107">
        <v>540</v>
      </c>
      <c r="F107">
        <v>1397</v>
      </c>
      <c r="G107">
        <v>1603</v>
      </c>
      <c r="H107">
        <v>1044</v>
      </c>
      <c r="I107">
        <v>4584</v>
      </c>
      <c r="J107" s="86">
        <f t="shared" si="0"/>
        <v>3353.6666666666665</v>
      </c>
    </row>
    <row r="108" spans="4:10">
      <c r="D108" s="72">
        <v>45607</v>
      </c>
      <c r="E108">
        <v>-106</v>
      </c>
      <c r="F108">
        <v>902</v>
      </c>
      <c r="G108">
        <v>1150</v>
      </c>
      <c r="H108">
        <v>349</v>
      </c>
      <c r="I108">
        <v>2295</v>
      </c>
      <c r="J108" s="86">
        <f t="shared" si="0"/>
        <v>3178.3333333333335</v>
      </c>
    </row>
    <row r="109" spans="4:10">
      <c r="D109" s="72">
        <v>45614</v>
      </c>
      <c r="E109">
        <v>72</v>
      </c>
      <c r="F109">
        <v>-49</v>
      </c>
      <c r="G109">
        <v>445</v>
      </c>
      <c r="H109">
        <v>60</v>
      </c>
      <c r="I109">
        <v>528</v>
      </c>
      <c r="J109" s="86">
        <f t="shared" si="0"/>
        <v>2469</v>
      </c>
    </row>
    <row r="110" spans="4:10">
      <c r="D110" s="72">
        <v>45621</v>
      </c>
      <c r="E110">
        <v>1332</v>
      </c>
      <c r="F110">
        <v>1693</v>
      </c>
      <c r="G110">
        <v>98</v>
      </c>
      <c r="H110">
        <v>885</v>
      </c>
      <c r="I110">
        <v>4008</v>
      </c>
      <c r="J110" s="86">
        <f t="shared" si="0"/>
        <v>2277</v>
      </c>
    </row>
    <row r="111" spans="4:10">
      <c r="D111" s="72">
        <v>45628</v>
      </c>
      <c r="E111">
        <v>1706</v>
      </c>
      <c r="F111">
        <v>1625</v>
      </c>
      <c r="G111">
        <v>1173</v>
      </c>
      <c r="H111">
        <v>291</v>
      </c>
      <c r="I111">
        <v>4795</v>
      </c>
      <c r="J111" s="86">
        <f t="shared" si="0"/>
        <v>3110.3333333333335</v>
      </c>
    </row>
    <row r="112" spans="4:10">
      <c r="D112" s="72">
        <v>45635</v>
      </c>
      <c r="E112">
        <v>1373</v>
      </c>
      <c r="F112">
        <v>1119</v>
      </c>
      <c r="G112">
        <v>1727</v>
      </c>
      <c r="H112">
        <v>573</v>
      </c>
      <c r="I112">
        <v>4792</v>
      </c>
      <c r="J112" s="86">
        <f t="shared" si="0"/>
        <v>4531.666666666667</v>
      </c>
    </row>
    <row r="113" spans="4:10">
      <c r="D113" s="72">
        <v>45642</v>
      </c>
      <c r="E113">
        <v>1377</v>
      </c>
      <c r="F113">
        <v>1432</v>
      </c>
      <c r="G113">
        <v>1359</v>
      </c>
      <c r="H113">
        <v>876</v>
      </c>
      <c r="I113">
        <v>5044</v>
      </c>
      <c r="J113" s="86">
        <f t="shared" si="0"/>
        <v>4877</v>
      </c>
    </row>
    <row r="114" spans="4:10">
      <c r="D114" s="72">
        <v>45649</v>
      </c>
      <c r="E114">
        <v>730</v>
      </c>
      <c r="F114">
        <v>684</v>
      </c>
      <c r="G114">
        <v>911</v>
      </c>
      <c r="H114">
        <v>1589</v>
      </c>
      <c r="I114">
        <v>3914</v>
      </c>
      <c r="J114" s="86">
        <f t="shared" si="0"/>
        <v>4583.333333333333</v>
      </c>
    </row>
    <row r="115" spans="4:10">
      <c r="D115" s="72">
        <v>45656</v>
      </c>
      <c r="E115">
        <v>1776</v>
      </c>
      <c r="F115">
        <v>1765</v>
      </c>
      <c r="G115">
        <v>1529</v>
      </c>
      <c r="H115">
        <v>1460</v>
      </c>
      <c r="I115">
        <v>6530</v>
      </c>
      <c r="J115" s="86">
        <f t="shared" si="0"/>
        <v>5162.666666666667</v>
      </c>
    </row>
    <row r="116" spans="4:10">
      <c r="D116" s="72">
        <v>45663</v>
      </c>
      <c r="E116">
        <v>620</v>
      </c>
      <c r="F116">
        <v>903</v>
      </c>
      <c r="G116">
        <v>1188</v>
      </c>
      <c r="H116">
        <v>846</v>
      </c>
      <c r="I116">
        <v>3557</v>
      </c>
      <c r="J116" s="86">
        <f t="shared" si="0"/>
        <v>4667</v>
      </c>
    </row>
    <row r="117" spans="4:10">
      <c r="D117" s="72">
        <v>45670</v>
      </c>
      <c r="E117">
        <v>298</v>
      </c>
      <c r="F117">
        <v>1722</v>
      </c>
      <c r="G117">
        <v>-144</v>
      </c>
      <c r="H117">
        <v>901</v>
      </c>
      <c r="I117">
        <v>2777</v>
      </c>
      <c r="J117" s="86">
        <f t="shared" si="0"/>
        <v>4288</v>
      </c>
    </row>
    <row r="118" spans="4:10">
      <c r="D118" s="72">
        <v>45677</v>
      </c>
      <c r="E118">
        <v>427</v>
      </c>
      <c r="F118">
        <v>1572</v>
      </c>
      <c r="G118">
        <v>891</v>
      </c>
      <c r="H118">
        <v>724</v>
      </c>
      <c r="I118">
        <v>3614</v>
      </c>
      <c r="J118" s="86">
        <f t="shared" si="0"/>
        <v>3316</v>
      </c>
    </row>
    <row r="119" spans="4:10">
      <c r="D119" s="72">
        <v>45684</v>
      </c>
      <c r="E119">
        <v>898</v>
      </c>
      <c r="F119">
        <v>-166</v>
      </c>
      <c r="G119">
        <v>1426</v>
      </c>
      <c r="H119">
        <v>1225</v>
      </c>
      <c r="I119">
        <v>3383</v>
      </c>
      <c r="J119" s="86">
        <f t="shared" si="0"/>
        <v>3258</v>
      </c>
    </row>
    <row r="120" spans="4:10">
      <c r="D120" s="72">
        <v>45691</v>
      </c>
      <c r="E120">
        <v>748</v>
      </c>
      <c r="F120">
        <v>1080</v>
      </c>
      <c r="G120">
        <v>569</v>
      </c>
      <c r="H120">
        <v>-203</v>
      </c>
      <c r="I120">
        <v>2194</v>
      </c>
      <c r="J120" s="86">
        <f t="shared" si="0"/>
        <v>3063.6666666666665</v>
      </c>
    </row>
    <row r="121" spans="4:10">
      <c r="D121" s="72">
        <v>45698</v>
      </c>
      <c r="E121">
        <v>912</v>
      </c>
      <c r="F121">
        <v>1723</v>
      </c>
      <c r="G121">
        <v>1202</v>
      </c>
      <c r="H121">
        <v>1444</v>
      </c>
      <c r="I121">
        <v>5281</v>
      </c>
      <c r="J121" s="86">
        <f t="shared" si="0"/>
        <v>3619.3333333333335</v>
      </c>
    </row>
    <row r="122" spans="4:10">
      <c r="D122" s="72">
        <v>45705</v>
      </c>
      <c r="E122">
        <v>1590</v>
      </c>
      <c r="F122">
        <v>965</v>
      </c>
      <c r="G122">
        <v>-37</v>
      </c>
      <c r="H122">
        <v>1175</v>
      </c>
      <c r="I122">
        <v>3693</v>
      </c>
      <c r="J122" s="86">
        <f t="shared" si="0"/>
        <v>3722.6666666666665</v>
      </c>
    </row>
    <row r="123" spans="4:10">
      <c r="D123" s="72">
        <v>45712</v>
      </c>
      <c r="E123">
        <v>1707</v>
      </c>
      <c r="F123">
        <v>1375</v>
      </c>
      <c r="G123">
        <v>708</v>
      </c>
      <c r="H123">
        <v>1016</v>
      </c>
      <c r="I123">
        <v>4806</v>
      </c>
      <c r="J123" s="86">
        <f t="shared" si="0"/>
        <v>4593.333333333333</v>
      </c>
    </row>
    <row r="124" spans="4:10">
      <c r="D124" s="72">
        <v>45719</v>
      </c>
      <c r="E124">
        <v>-119</v>
      </c>
      <c r="F124">
        <v>1315</v>
      </c>
      <c r="G124">
        <v>899</v>
      </c>
      <c r="H124">
        <v>315</v>
      </c>
      <c r="I124">
        <v>2410</v>
      </c>
      <c r="J124" s="86">
        <f t="shared" si="0"/>
        <v>3636.3333333333335</v>
      </c>
    </row>
    <row r="125" spans="4:10">
      <c r="D125" s="72">
        <v>45726</v>
      </c>
      <c r="E125">
        <v>908</v>
      </c>
      <c r="F125">
        <v>212</v>
      </c>
      <c r="G125">
        <v>1350</v>
      </c>
      <c r="H125">
        <v>1242</v>
      </c>
      <c r="I125">
        <v>3712</v>
      </c>
      <c r="J125" s="86">
        <f t="shared" si="0"/>
        <v>3642.6666666666665</v>
      </c>
    </row>
    <row r="126" spans="4:10">
      <c r="D126" s="72">
        <v>45733</v>
      </c>
      <c r="E126">
        <v>1116</v>
      </c>
      <c r="F126">
        <v>680</v>
      </c>
      <c r="G126">
        <v>861</v>
      </c>
      <c r="H126">
        <v>1385</v>
      </c>
      <c r="I126">
        <v>4042</v>
      </c>
      <c r="J126" s="86">
        <f t="shared" si="0"/>
        <v>3388</v>
      </c>
    </row>
    <row r="127" spans="4:10">
      <c r="D127" s="72">
        <v>45740</v>
      </c>
      <c r="E127">
        <v>474</v>
      </c>
      <c r="F127">
        <v>461</v>
      </c>
      <c r="G127">
        <v>292</v>
      </c>
      <c r="H127">
        <v>389</v>
      </c>
      <c r="I127">
        <v>1616</v>
      </c>
      <c r="J127" s="86">
        <f t="shared" si="0"/>
        <v>3123.3333333333335</v>
      </c>
    </row>
    <row r="128" spans="4:10">
      <c r="D128" s="72">
        <v>45747</v>
      </c>
      <c r="E128">
        <v>514</v>
      </c>
      <c r="F128">
        <v>641</v>
      </c>
      <c r="G128">
        <v>1676</v>
      </c>
      <c r="H128">
        <v>1467</v>
      </c>
      <c r="I128">
        <v>4298</v>
      </c>
      <c r="J128" s="86">
        <f t="shared" si="0"/>
        <v>3318.6666666666665</v>
      </c>
    </row>
    <row r="129" spans="4:10">
      <c r="D129" s="72">
        <v>45754</v>
      </c>
      <c r="E129">
        <v>1029</v>
      </c>
      <c r="F129">
        <v>167</v>
      </c>
      <c r="G129">
        <v>1007</v>
      </c>
      <c r="H129">
        <v>209</v>
      </c>
      <c r="I129">
        <v>2412</v>
      </c>
      <c r="J129" s="86">
        <f t="shared" si="0"/>
        <v>2775.3333333333335</v>
      </c>
    </row>
    <row r="130" spans="4:10">
      <c r="D130" s="72">
        <v>45761</v>
      </c>
      <c r="E130">
        <v>-175</v>
      </c>
      <c r="F130">
        <v>-160</v>
      </c>
      <c r="G130">
        <v>53</v>
      </c>
      <c r="H130">
        <v>145</v>
      </c>
      <c r="I130">
        <v>-137</v>
      </c>
      <c r="J130" s="86">
        <f t="shared" si="0"/>
        <v>2191</v>
      </c>
    </row>
    <row r="131" spans="4:10">
      <c r="D131" s="72">
        <v>45768</v>
      </c>
      <c r="E131">
        <v>1045</v>
      </c>
      <c r="F131">
        <v>603</v>
      </c>
      <c r="G131">
        <v>759</v>
      </c>
      <c r="H131">
        <v>1633</v>
      </c>
      <c r="I131">
        <v>4040</v>
      </c>
      <c r="J131" s="86">
        <f t="shared" si="0"/>
        <v>2105</v>
      </c>
    </row>
    <row r="132" spans="4:10">
      <c r="D132" s="72">
        <v>45775</v>
      </c>
      <c r="E132">
        <v>453</v>
      </c>
      <c r="F132">
        <v>1539</v>
      </c>
      <c r="G132">
        <v>948</v>
      </c>
      <c r="H132">
        <v>637</v>
      </c>
      <c r="I132">
        <v>3577</v>
      </c>
      <c r="J132" s="86">
        <f t="shared" si="0"/>
        <v>2493.3333333333335</v>
      </c>
    </row>
    <row r="133" spans="4:10">
      <c r="D133" s="72">
        <v>45782</v>
      </c>
      <c r="E133">
        <v>339</v>
      </c>
      <c r="F133">
        <v>1881</v>
      </c>
      <c r="G133">
        <v>1510</v>
      </c>
      <c r="H133">
        <v>864</v>
      </c>
      <c r="I133">
        <v>4594</v>
      </c>
      <c r="J133" s="86">
        <f t="shared" si="0"/>
        <v>4070.3333333333335</v>
      </c>
    </row>
    <row r="134" spans="4:10">
      <c r="D134" s="72">
        <v>45789</v>
      </c>
      <c r="E134">
        <v>407</v>
      </c>
      <c r="F134">
        <v>1656</v>
      </c>
      <c r="G134">
        <v>269</v>
      </c>
      <c r="H134">
        <v>-337</v>
      </c>
      <c r="I134">
        <v>1995</v>
      </c>
      <c r="J134" s="86">
        <f t="shared" si="0"/>
        <v>3388.6666666666665</v>
      </c>
    </row>
    <row r="135" spans="4:10">
      <c r="D135" s="72" t="s">
        <v>581</v>
      </c>
      <c r="E135">
        <v>35557</v>
      </c>
      <c r="F135">
        <v>48004</v>
      </c>
      <c r="G135">
        <v>41177</v>
      </c>
      <c r="H135">
        <v>35367</v>
      </c>
      <c r="I135">
        <v>160105</v>
      </c>
      <c r="J135" s="85"/>
    </row>
    <row r="164" spans="4:7" ht="28.8">
      <c r="D164" s="23" t="s">
        <v>580</v>
      </c>
      <c r="E164" s="6" t="s">
        <v>673</v>
      </c>
      <c r="F164" s="6" t="s">
        <v>672</v>
      </c>
      <c r="G164" s="6" t="s">
        <v>674</v>
      </c>
    </row>
    <row r="165" spans="4:7">
      <c r="D165" s="24" t="s">
        <v>25</v>
      </c>
      <c r="E165">
        <v>176401</v>
      </c>
      <c r="F165">
        <v>6219</v>
      </c>
      <c r="G165" s="26">
        <v>55.840944745184345</v>
      </c>
    </row>
    <row r="166" spans="4:7">
      <c r="D166" s="25" t="s">
        <v>40</v>
      </c>
      <c r="E166">
        <v>127536</v>
      </c>
      <c r="F166">
        <v>4399</v>
      </c>
      <c r="G166" s="26">
        <v>28.992043646283246</v>
      </c>
    </row>
    <row r="167" spans="4:7">
      <c r="D167" s="25" t="s">
        <v>31</v>
      </c>
      <c r="E167">
        <v>48865</v>
      </c>
      <c r="F167">
        <v>1820</v>
      </c>
      <c r="G167" s="26">
        <v>26.848901098901099</v>
      </c>
    </row>
    <row r="168" spans="4:7">
      <c r="D168" s="24" t="s">
        <v>19</v>
      </c>
      <c r="E168">
        <v>256317</v>
      </c>
      <c r="F168">
        <v>4931</v>
      </c>
      <c r="G168" s="26">
        <v>110.05981067598765</v>
      </c>
    </row>
    <row r="169" spans="4:7">
      <c r="D169" s="25" t="s">
        <v>31</v>
      </c>
      <c r="E169">
        <v>156818</v>
      </c>
      <c r="F169">
        <v>3362</v>
      </c>
      <c r="G169" s="26">
        <v>46.644259369422961</v>
      </c>
    </row>
    <row r="170" spans="4:7">
      <c r="D170" s="25" t="s">
        <v>27</v>
      </c>
      <c r="E170">
        <v>99499</v>
      </c>
      <c r="F170">
        <v>1569</v>
      </c>
      <c r="G170" s="26">
        <v>63.415551306564694</v>
      </c>
    </row>
    <row r="171" spans="4:7">
      <c r="D171" s="24" t="s">
        <v>38</v>
      </c>
      <c r="E171">
        <v>288845</v>
      </c>
      <c r="F171">
        <v>8643</v>
      </c>
      <c r="G171" s="26">
        <v>68.95105518311</v>
      </c>
    </row>
    <row r="172" spans="4:7">
      <c r="D172" s="25" t="s">
        <v>40</v>
      </c>
      <c r="E172">
        <v>129155</v>
      </c>
      <c r="F172">
        <v>3312</v>
      </c>
      <c r="G172" s="26">
        <v>38.996074879227052</v>
      </c>
    </row>
    <row r="173" spans="4:7">
      <c r="D173" s="25" t="s">
        <v>31</v>
      </c>
      <c r="E173">
        <v>159690</v>
      </c>
      <c r="F173">
        <v>5331</v>
      </c>
      <c r="G173" s="26">
        <v>29.954980303882948</v>
      </c>
    </row>
    <row r="174" spans="4:7">
      <c r="D174" s="24" t="s">
        <v>55</v>
      </c>
      <c r="E174">
        <v>265285</v>
      </c>
      <c r="F174">
        <v>9875</v>
      </c>
      <c r="G174" s="26">
        <v>58.99498547871174</v>
      </c>
    </row>
    <row r="175" spans="4:7">
      <c r="D175" s="25" t="s">
        <v>31</v>
      </c>
      <c r="E175">
        <v>97334</v>
      </c>
      <c r="F175">
        <v>5931</v>
      </c>
      <c r="G175" s="26">
        <v>16.411060529421682</v>
      </c>
    </row>
    <row r="176" spans="4:7">
      <c r="D176" s="25" t="s">
        <v>14</v>
      </c>
      <c r="E176">
        <v>167951</v>
      </c>
      <c r="F176">
        <v>3944</v>
      </c>
      <c r="G176" s="26">
        <v>42.583924949290058</v>
      </c>
    </row>
    <row r="177" spans="4:7">
      <c r="D177" s="24" t="s">
        <v>581</v>
      </c>
      <c r="E177">
        <v>986848</v>
      </c>
      <c r="F177">
        <v>29668</v>
      </c>
      <c r="G177" s="26">
        <v>293.84679608299371</v>
      </c>
    </row>
  </sheetData>
  <conditionalFormatting pivot="1" sqref="H12 H13 H14 H15 H16 H17 H18 H20 H21 H22 H23 H24">
    <cfRule type="colorScale" priority="16">
      <colorScale>
        <cfvo type="min"/>
        <cfvo type="percentile" val="50"/>
        <cfvo type="max"/>
        <color rgb="FFF8696B"/>
        <color rgb="FFFFEB84"/>
        <color rgb="FF63BE7B"/>
      </colorScale>
    </cfRule>
  </conditionalFormatting>
  <conditionalFormatting pivot="1" sqref="G12 G13 G14 G15 G16 G17 G18 G20 G21 G22 G23 G24">
    <cfRule type="colorScale" priority="15">
      <colorScale>
        <cfvo type="min"/>
        <cfvo type="percentile" val="50"/>
        <cfvo type="max"/>
        <color rgb="FFF8696B"/>
        <color rgb="FFFFEB84"/>
        <color rgb="FF63BE7B"/>
      </colorScale>
    </cfRule>
  </conditionalFormatting>
  <conditionalFormatting pivot="1" sqref="F12 F13 F14 F15 F16 F17 F18 F20 F21 F22 F23 F24">
    <cfRule type="colorScale" priority="14">
      <colorScale>
        <cfvo type="min"/>
        <cfvo type="percentile" val="50"/>
        <cfvo type="max"/>
        <color rgb="FFF8696B"/>
        <color rgb="FFFFEB84"/>
        <color rgb="FF63BE7B"/>
      </colorScale>
    </cfRule>
  </conditionalFormatting>
  <conditionalFormatting pivot="1" sqref="E12 E13 E14 E15 E16 E17 E18 E20 E21 E22 E23 E24">
    <cfRule type="colorScale" priority="13">
      <colorScale>
        <cfvo type="min"/>
        <cfvo type="percentile" val="50"/>
        <cfvo type="max"/>
        <color rgb="FFF8696B"/>
        <color rgb="FFFFEB84"/>
        <color rgb="FF63BE7B"/>
      </colorScale>
    </cfRule>
  </conditionalFormatting>
  <conditionalFormatting pivot="1" sqref="E25:H25">
    <cfRule type="iconSet" priority="12">
      <iconSet iconSet="3Arrows">
        <cfvo type="percent" val="0"/>
        <cfvo type="percent" val="33"/>
        <cfvo type="percent" val="67"/>
      </iconSet>
    </cfRule>
  </conditionalFormatting>
  <conditionalFormatting pivot="1" sqref="I58:I62">
    <cfRule type="colorScale" priority="6">
      <colorScale>
        <cfvo type="min"/>
        <cfvo type="percentile" val="50"/>
        <cfvo type="max"/>
        <color rgb="FFF8696B"/>
        <color rgb="FFFFEB84"/>
        <color rgb="FF63BE7B"/>
      </colorScale>
    </cfRule>
  </conditionalFormatting>
  <pageMargins left="0.7" right="0.7" top="0.75" bottom="0.75" header="0.3" footer="0.3"/>
  <drawing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1D8C-48D8-4FB8-AF0A-57AF228C17D3}">
  <sheetPr codeName="Sheet17"/>
  <dimension ref="I13:S17"/>
  <sheetViews>
    <sheetView showGridLines="0" zoomScale="85" zoomScaleNormal="85" workbookViewId="0">
      <pane ySplit="3" topLeftCell="A4" activePane="bottomLeft" state="frozen"/>
      <selection pane="bottomLeft" activeCell="K19" sqref="K19"/>
    </sheetView>
  </sheetViews>
  <sheetFormatPr defaultRowHeight="14.4"/>
  <sheetData>
    <row r="13" spans="9:19" ht="33.6" customHeight="1">
      <c r="I13" s="97" t="s">
        <v>676</v>
      </c>
      <c r="J13" s="97"/>
      <c r="K13" s="97"/>
      <c r="L13" s="97"/>
      <c r="M13" s="97"/>
      <c r="N13" s="97"/>
      <c r="O13" s="97"/>
      <c r="P13" s="97"/>
      <c r="Q13" s="97"/>
      <c r="R13" s="97"/>
      <c r="S13" s="97"/>
    </row>
    <row r="14" spans="9:19" ht="14.4" customHeight="1">
      <c r="I14" s="97"/>
      <c r="J14" s="97"/>
      <c r="K14" s="97"/>
      <c r="L14" s="97"/>
      <c r="M14" s="97"/>
      <c r="N14" s="97"/>
      <c r="O14" s="97"/>
      <c r="P14" s="97"/>
      <c r="Q14" s="97"/>
      <c r="R14" s="97"/>
      <c r="S14" s="97"/>
    </row>
    <row r="17" spans="11:11">
      <c r="K17" t="s">
        <v>675</v>
      </c>
    </row>
  </sheetData>
  <mergeCells count="1">
    <mergeCell ref="I13:S14"/>
  </mergeCells>
  <hyperlinks>
    <hyperlink ref="I13" r:id="rId1" display="Video Link" xr:uid="{54C47030-ED79-4AD1-8992-1067CA69AAED}"/>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3FDBF7-ECDB-4A61-8176-C2B477059B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Content</vt:lpstr>
      <vt:lpstr>Raw_Post</vt:lpstr>
      <vt:lpstr>Raw_Engagment Summary</vt:lpstr>
      <vt:lpstr>Raw_Campaign Data</vt:lpstr>
      <vt:lpstr>TBL_Post</vt:lpstr>
      <vt:lpstr>TBL_Engagement_summary</vt:lpstr>
      <vt:lpstr>TBL_Engagement_summary (2)</vt:lpstr>
      <vt:lpstr>CAMPAIGN DATA T6t4</vt:lpstr>
      <vt:lpstr>TBL_Campaign_Data</vt:lpstr>
      <vt:lpstr>TBL_Campaign_Data (2)</vt:lpstr>
      <vt:lpstr>T2_Engagement Analysis</vt:lpstr>
      <vt:lpstr>T3_Platform_Analysis</vt:lpstr>
      <vt:lpstr>Dump</vt:lpstr>
      <vt:lpstr>T4_Hashtag &amp; Content Strategy</vt:lpstr>
      <vt:lpstr>T5_Campaign_Effectiveness</vt:lpstr>
      <vt:lpstr>T6_Follower retention &amp; Loyalty</vt:lpstr>
      <vt:lpstr>T7_Summary_Video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DEVANG bairwa</dc:creator>
  <cp:lastModifiedBy>Dheeraj Marmat [MCA - 2023]</cp:lastModifiedBy>
  <dcterms:created xsi:type="dcterms:W3CDTF">2025-11-20T05:25:56Z</dcterms:created>
  <dcterms:modified xsi:type="dcterms:W3CDTF">2026-01-18T21:51:34Z</dcterms:modified>
</cp:coreProperties>
</file>